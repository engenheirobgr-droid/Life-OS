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19635" windowHeight="8205"/>
  </bookViews>
  <sheets>
    <sheet name="Metas, objetivos, plano de ação" sheetId="1" r:id="rId1"/>
    <sheet name="Diário" sheetId="6" r:id="rId2"/>
    <sheet name="Diário (2)" sheetId="2" state="hidden" r:id="rId3"/>
    <sheet name="Acompanhamento" sheetId="5" r:id="rId4"/>
    <sheet name="Visão_out 23" sheetId="9" r:id="rId5"/>
    <sheet name="Meta financeira" sheetId="4" r:id="rId6"/>
  </sheets>
  <calcPr calcId="191029"/>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<sst xmlns="http://schemas.openxmlformats.org/spreadsheetml/2006/main" count="2127" uniqueCount="470">
  <si>
    <t>legenda</t>
  </si>
  <si>
    <t>CONCLUÍDO</t>
  </si>
  <si>
    <t>Profissional</t>
  </si>
  <si>
    <t>Longo prazo</t>
  </si>
  <si>
    <t>6 anos</t>
  </si>
  <si>
    <t>Longo</t>
  </si>
  <si>
    <t>PENDENTE</t>
  </si>
  <si>
    <t>Financeiro</t>
  </si>
  <si>
    <t>Médio prazo</t>
  </si>
  <si>
    <t>3 anos</t>
  </si>
  <si>
    <t>dez/24 e dez/25</t>
  </si>
  <si>
    <t>Médio</t>
  </si>
  <si>
    <t>EM ANDAMENTO</t>
  </si>
  <si>
    <t>Pessoal</t>
  </si>
  <si>
    <t>Curto prazo 1</t>
  </si>
  <si>
    <t>1 ano</t>
  </si>
  <si>
    <t>Curto</t>
  </si>
  <si>
    <t>CANCELADO</t>
  </si>
  <si>
    <t>Contribuição</t>
  </si>
  <si>
    <t>Curto prazo 2</t>
  </si>
  <si>
    <t>mensal</t>
  </si>
  <si>
    <t>Mensal</t>
  </si>
  <si>
    <t>curtíssimo prazo</t>
  </si>
  <si>
    <t>semanal</t>
  </si>
  <si>
    <t>Semana 1</t>
  </si>
  <si>
    <t>Semana 2</t>
  </si>
  <si>
    <t>STATUS</t>
  </si>
  <si>
    <t>ÁREA</t>
  </si>
  <si>
    <t>MACRO META - DESCRIÇÃO</t>
  </si>
  <si>
    <t>MICRO META - DESCRIÇÃO</t>
  </si>
  <si>
    <t>DATA</t>
  </si>
  <si>
    <t>PRAZO</t>
  </si>
  <si>
    <t>COMO</t>
  </si>
  <si>
    <t>INDICADOR</t>
  </si>
  <si>
    <t>Semana 3</t>
  </si>
  <si>
    <t>Me desenvolver como gestor</t>
  </si>
  <si>
    <t>Realizar cursos livres de gestão 1h na semana</t>
  </si>
  <si>
    <t>Notas de estudo e anotações nos livros</t>
  </si>
  <si>
    <t>Semana 4</t>
  </si>
  <si>
    <t>Me desenvolver tecnicamente em proteção SEP, com foco em AT</t>
  </si>
  <si>
    <t>Realizar estudo direcionado para análise de SEP 2,5h na semana</t>
  </si>
  <si>
    <t>Realizar estudos das aulas de SEP do curso PLT no fim de semana</t>
  </si>
  <si>
    <t>Me desenvolver tecnicamente no negócio de distribuição de energia</t>
  </si>
  <si>
    <t>Estudar os indicadores de qualidade de energia 1h na semana</t>
  </si>
  <si>
    <t>Realizar cursos livres de gestão 4h no mês</t>
  </si>
  <si>
    <t>Realizar estudo direcionado para análise de SEP 10h no mês</t>
  </si>
  <si>
    <t>Realizar estudo das aulas de SEP dos cursos de proteção nos finais de semana</t>
  </si>
  <si>
    <t>Estudar os indicadores de qualidade de energia 4h no mês</t>
  </si>
  <si>
    <t>10 min/ dia de cardio e seguir rotina de treino diário de musculação</t>
  </si>
  <si>
    <t>Todos os dia após meditar</t>
  </si>
  <si>
    <t>Print app de corrida e treino</t>
  </si>
  <si>
    <t>Estudar 2,5h de inglês</t>
  </si>
  <si>
    <t>Estudar ao menos 0,5 h por dia, 5 dias na semana</t>
  </si>
  <si>
    <t>Duolingo e anotações</t>
  </si>
  <si>
    <t>Fazer agradecimento diário</t>
  </si>
  <si>
    <t>Todos os dias antes de dormir</t>
  </si>
  <si>
    <t>Planilha "DIÁRIO"</t>
  </si>
  <si>
    <t>Fazer de 5  a 10 min/ dia de meditação</t>
  </si>
  <si>
    <t>Todos os dias meditar após acordar</t>
  </si>
  <si>
    <t>Não há</t>
  </si>
  <si>
    <t>Fazer planejamento da semana seguinte</t>
  </si>
  <si>
    <t>No domingo, antes de começar a semana seguinte, na planilha "Diário"</t>
  </si>
  <si>
    <t>Ler 4 capítulos do livro "Seja Foda"</t>
  </si>
  <si>
    <t>Separar tempo no dia para ler</t>
  </si>
  <si>
    <t>Livro com anotações etc</t>
  </si>
  <si>
    <t>Reformular treino e dieta</t>
  </si>
  <si>
    <t>Através da planilha de controle de dieta e de treino para acompanhamento dos resultados</t>
  </si>
  <si>
    <t>Planilha de acompanhameto de dieta e de treino atualizada</t>
  </si>
  <si>
    <t>Começar o primeiro livro ("Seja foda" de Caio Carneiro)</t>
  </si>
  <si>
    <t>Estudar 10h de inglês</t>
  </si>
  <si>
    <t>Refazer duolingo e estudar atavés do TED Talks</t>
  </si>
  <si>
    <t>Fazer pelo menos  2h de meditação no mês</t>
  </si>
  <si>
    <t>Ganhar 2 kg de massa magra com minimo de gordura possível para mim</t>
  </si>
  <si>
    <t>Através dos treinos diários e alimentação saudável</t>
  </si>
  <si>
    <t>Exame de bioimpedância</t>
  </si>
  <si>
    <t>Fazer declaração de impostos</t>
  </si>
  <si>
    <t>Baixar software, organizar comprovantes e realizar a declaração</t>
  </si>
  <si>
    <t>Comprovante de declaração</t>
  </si>
  <si>
    <t>Me especializar em investimentos em renda fixa</t>
  </si>
  <si>
    <t>Realizar cursos de finanças 30 min por dia</t>
  </si>
  <si>
    <t>Anotações, acompanhamento do curso</t>
  </si>
  <si>
    <t>Me especializar em investimentos em renda variável</t>
  </si>
  <si>
    <t>Organizar finanças e definir gastos mensais</t>
  </si>
  <si>
    <t>Organizar gastos mensais fixos, reservar dinheiro para lazer, reservar dinheiro para emergência, baixar aplicativo linkado ao banco para acompanhamentos e organizar em planilha</t>
  </si>
  <si>
    <t>Planilha de gastos e extrato do app</t>
  </si>
  <si>
    <t>Realizar aplicação da reserva de emergência</t>
  </si>
  <si>
    <t>Estudar renda fixa</t>
  </si>
  <si>
    <t>Reservar dinheiro correspondente a 6 meses de custo de vida atual</t>
  </si>
  <si>
    <t>Saldo bancário</t>
  </si>
  <si>
    <t>Aplicar reserva de emergência</t>
  </si>
  <si>
    <t>Estrato da corretora</t>
  </si>
  <si>
    <t>Participar de programa de aceleração de carreiras da energisa</t>
  </si>
  <si>
    <t>Certificado de participação, material</t>
  </si>
  <si>
    <t>Realizar viagem com meu irmão</t>
  </si>
  <si>
    <t>Programar viagem, juntar dinheiro e viajar</t>
  </si>
  <si>
    <t>Fotos</t>
  </si>
  <si>
    <t>Aplicar reserva de emergência em investimento seguro e com liquidez</t>
  </si>
  <si>
    <t>Estudar investimentos de renda fixa e aplicar 6 meses de custo de vida</t>
  </si>
  <si>
    <t>Extrato da corretora</t>
  </si>
  <si>
    <t>Realizar cursos de finanças</t>
  </si>
  <si>
    <t>Fazer ação de fim de ano</t>
  </si>
  <si>
    <t>Organizar ação solidária com amigos no fim do ano (sopãp, doação de agasalho, etc.)</t>
  </si>
  <si>
    <t>Reconhecimento profissional na área de proteção SEP</t>
  </si>
  <si>
    <t>Desenvolver plano de estudos</t>
  </si>
  <si>
    <t>Organizar plano de estudos contemplando os cursos de proteção do Paulo Maezono e de automação da Hotmart</t>
  </si>
  <si>
    <t>Plano de estudos</t>
  </si>
  <si>
    <t>Organizar plano de estudos contemplando estudos dos indicadores de qualidade de energia</t>
  </si>
  <si>
    <t>Reativar conta do Linkedin</t>
  </si>
  <si>
    <t>Resgatar perfil do linkedin e verificar como funciona</t>
  </si>
  <si>
    <t>Acesso ao site Linkedin</t>
  </si>
  <si>
    <t>Desenvolver plano de trabalho na EAC</t>
  </si>
  <si>
    <t>Organizar pendências e metas para o ano de 2023</t>
  </si>
  <si>
    <t>Plano de trabalho</t>
  </si>
  <si>
    <t>Definir plano de treino (cardio + academia)</t>
  </si>
  <si>
    <t>Montar planilha com plano de treino, envolvendo os exercícios, pesos etc</t>
  </si>
  <si>
    <t>Planolha de treino montada</t>
  </si>
  <si>
    <t>Definir dieta</t>
  </si>
  <si>
    <t>Montar dieta considerando os macros para o peso atual, em planilha ou aplicativo</t>
  </si>
  <si>
    <t>Planilha ou aplicativo montado</t>
  </si>
  <si>
    <t>Realizar leitura de 2 capítulos do livro Seja Foda!</t>
  </si>
  <si>
    <t>Reservar tempo para leitura diária</t>
  </si>
  <si>
    <t>Notas de leitura no livro</t>
  </si>
  <si>
    <t>Realizar seguro viagem para viagem a Bolívia</t>
  </si>
  <si>
    <t>Verificar as condições no site do Visa Infinite e solicitar seguro</t>
  </si>
  <si>
    <t>Documento de seguro viagem</t>
  </si>
  <si>
    <t>Realizar 10 min/dia de meditação</t>
  </si>
  <si>
    <t xml:space="preserve">Definir rotina de meditação e realizar meditação quiada através de aplicativo de meditação </t>
  </si>
  <si>
    <t>Resumo de aplicativo</t>
  </si>
  <si>
    <t>Realizar 2h de estudo dirigido de inglês</t>
  </si>
  <si>
    <t>Refazer duolingo (regras gramaticais e tempos verbais). Através do TED Talks, treinar o listening (palestras), realizar resumo em inglês treinando o writing e o reading com as transcrições</t>
  </si>
  <si>
    <t>Anotações</t>
  </si>
  <si>
    <t>Definir plano de estudos em investimentos</t>
  </si>
  <si>
    <t>Definir em plano de estudos, definir material de estudos e realizar 1h de estudo dirigido</t>
  </si>
  <si>
    <t>Plano de estudos e anotações</t>
  </si>
  <si>
    <t>Organizar trabalho</t>
  </si>
  <si>
    <t>Definir plano de trabalho, pendências e metas para 2023 e atividades dos liderados</t>
  </si>
  <si>
    <t>Plano de trabalho montado</t>
  </si>
  <si>
    <t>Confeccionar BIs de acompanhamento da CPE</t>
  </si>
  <si>
    <t>Bis montados e publicados para empresa</t>
  </si>
  <si>
    <t>Entender os principais indicadores de qualidade de energia</t>
  </si>
  <si>
    <t>Definir em plano de estudos e estudar os idicadores de qualidade de energia através do resultados da área de qualidade do DEOP/EAC</t>
  </si>
  <si>
    <t>Anotações em plano de estudos</t>
  </si>
  <si>
    <t>Realizar curso de proteção do Paulo Maezono</t>
  </si>
  <si>
    <t>Definir em plano de estudos a realização do curso</t>
  </si>
  <si>
    <t>Realizar curso de automação de SEs da Hotmart</t>
  </si>
  <si>
    <t>Certificado</t>
  </si>
  <si>
    <t>Definir evento para publicações no ano de 2023</t>
  </si>
  <si>
    <t>Definir eventos (congressos, seminários etc.) onde é possível publicar</t>
  </si>
  <si>
    <t>Eventos definidos e prazos para entregas de trabalhos</t>
  </si>
  <si>
    <t>Atualizar perfil no Linkedin</t>
  </si>
  <si>
    <t>Revisar perfil Linkedin, coletar informações necessárias, atualizar perfil, conectar a pessoas relevantes</t>
  </si>
  <si>
    <t>Perfil da plataforma atualizado</t>
  </si>
  <si>
    <t>Ler  4 capítulos do livro Seja Foda! De Caio Carneiro</t>
  </si>
  <si>
    <t>Realizar 5h de estudo dirigido de inglês</t>
  </si>
  <si>
    <t>Curso duolingo finalizado e anotações</t>
  </si>
  <si>
    <t>Definir minha dieta para emagrecimento/ganho de peso</t>
  </si>
  <si>
    <t xml:space="preserve">Definir dieta diária, com quantidades dos macros, realizar o acompanhamento semanal para identificar se estou ganhando ou perdendo peso (mantendo o ritmo de atividade física) e definir dieta </t>
  </si>
  <si>
    <t>Plano de alimentação montado, acompanhamento do peso semanal</t>
  </si>
  <si>
    <t>Realizar 2h de estudos a respeito de renda fixa</t>
  </si>
  <si>
    <t>Definir em plano de estudos, definir material de estudos e realizar estudo dirigido</t>
  </si>
  <si>
    <t>Realizar 2 aportes em investimentos, referente aos meses de janeiro e fevereiro</t>
  </si>
  <si>
    <t>Estudar os ativos de acordo com as recomendações da INSIDE e realizar aportes</t>
  </si>
  <si>
    <t>Extrato corretora</t>
  </si>
  <si>
    <t>Ajudar pessoa com trabalho de faxina no mês de fevereiro</t>
  </si>
  <si>
    <t>Pesquisar pessoa de confiança e convidar para o trabalho</t>
  </si>
  <si>
    <t>Realizar ao menos 2 publicações em plataforma profissional</t>
  </si>
  <si>
    <t>Realizar publicação referente à área de proteção e qualidade de energia em plataforma de alcance profissional (linkedin)</t>
  </si>
  <si>
    <t>Publicações nas plataformas</t>
  </si>
  <si>
    <t>Realizar cursos de proteção, linkando conteúdo com casos reais do trabalho</t>
  </si>
  <si>
    <t>Realizar estudos em análise de sistemas de potência e curto-circuito e aprender a utilizar o ANAREDE</t>
  </si>
  <si>
    <t>Aprender sobre controle de tensão e aprender a parametizar reguladores de tensão</t>
  </si>
  <si>
    <t>Aprender sobre automação de subestações e aplicação da IEC61850</t>
  </si>
  <si>
    <t>Participar do TAF de uma SE em contrução na Energisa Acre</t>
  </si>
  <si>
    <t>Notas de estudo e anotações nos unifilares e funcionais</t>
  </si>
  <si>
    <t>Participar do TAC de uma SE em contrução na Energisa Acre</t>
  </si>
  <si>
    <t>Estudar os principais indicadores de qualidade de energia e linkar com vivência prática</t>
  </si>
  <si>
    <t>Estudar os principais indicadores do DEOP e linkar com trabalho identificando oportunidades</t>
  </si>
  <si>
    <t>Estudar os principais indicadores da empresa e entender como impactam no negócio</t>
  </si>
  <si>
    <t>Estudar os procedimentos de segurança nos serviços de campo</t>
  </si>
  <si>
    <t>Saltar de paraquedas</t>
  </si>
  <si>
    <t>Programar e realizar salto</t>
  </si>
  <si>
    <t>Alcançar os 79 kg com BF de, no máximo, 18%</t>
  </si>
  <si>
    <t>Treinos diários de cadio e hipertrofia</t>
  </si>
  <si>
    <t>Participar de corrida de 5km e finalizar competição</t>
  </si>
  <si>
    <t>Medalha da competição</t>
  </si>
  <si>
    <t>Me expor a economia internacional em pelo menos 10% do meu patrimônio</t>
  </si>
  <si>
    <t>Realizar aplicação em ativos da bolsa estrangeira</t>
  </si>
  <si>
    <t>Realizar curso ANAREDE e linkar com casos práticos</t>
  </si>
  <si>
    <t>Crescimento pessoal</t>
  </si>
  <si>
    <t>Atualizar plano de estudos</t>
  </si>
  <si>
    <t>Organizar plano de estudos contemplando os cursos de proteção do Paulo Maezono, de automação da Hotmart, rotina de desenvolvimento financeiro e profissional</t>
  </si>
  <si>
    <t>Ter saúde física e mental</t>
  </si>
  <si>
    <t>Montar dieta no app growth considerando os macros para o peso atual, com meta de emagrecimento para 15 Dez/23</t>
  </si>
  <si>
    <t>Realizar leitura de 4 capítulos do livro Seja Foda!</t>
  </si>
  <si>
    <t>Desenvolver o hábito de acompanhar notícias</t>
  </si>
  <si>
    <t>Assistir jornais, acompanhar notícias em mídias sociais realmente sem deixar para depois</t>
  </si>
  <si>
    <t>Desenvolver uma rotina saudável para cuidados pessoais: corpo, mente e espírito</t>
  </si>
  <si>
    <t>Através de hábitos saudáveis</t>
  </si>
  <si>
    <t>Exames clínicos</t>
  </si>
  <si>
    <t>Ter renda passiva de R$ 4.000,00 ao mês</t>
  </si>
  <si>
    <t>Definir plano de estudos em investimentos em renda fixa</t>
  </si>
  <si>
    <t>Ter patrimônio líquido de R$ 800.000,00</t>
  </si>
  <si>
    <t>Organizar finanças</t>
  </si>
  <si>
    <t>Organizar planilha de controle financeiro</t>
  </si>
  <si>
    <t>Planilha de controle atualizada atualizada</t>
  </si>
  <si>
    <t>Atualizar BIs de acompanhamento da CPE e finalizar pendências</t>
  </si>
  <si>
    <t>BIs montados e publicados para empresa</t>
  </si>
  <si>
    <t>Atualizar base de proteção da distribuição - Delegar, orientar e estabelecer prazos</t>
  </si>
  <si>
    <t>Plano de ação montando</t>
  </si>
  <si>
    <t>Atualizar base de proteção da transmissão ANAFAS e OneLiner</t>
  </si>
  <si>
    <t>Bases atualizadas</t>
  </si>
  <si>
    <t>Realizar cronograma de estudos de proteção das novas obras</t>
  </si>
  <si>
    <t>Organizar databooks das SEs contemplando as novas SEs</t>
  </si>
  <si>
    <t>Databook atualizado</t>
  </si>
  <si>
    <t>Reconhecimento profissional como gestor</t>
  </si>
  <si>
    <t>Organizar conteúdo do MBA e rotina de estudos</t>
  </si>
  <si>
    <t>Organizar em plano de estudos</t>
  </si>
  <si>
    <t>Plano de estudos organizado</t>
  </si>
  <si>
    <t>Ajudar a construir um mundo melhor/fazer a diferença neste mundo através do exemplo</t>
  </si>
  <si>
    <t>Ajudar pessoa com trabalho de faxina no mês de outubro</t>
  </si>
  <si>
    <t>Realizar curso de proteção do IOSE</t>
  </si>
  <si>
    <t>Finalizar estudos de proteção da SE TAN e passar ordens de ajustes para TAF</t>
  </si>
  <si>
    <t>Desenvolver estudos após atualização das bases de proteção AT da EAC</t>
  </si>
  <si>
    <t>Relatórios de estudos desenvolvidos</t>
  </si>
  <si>
    <t>Acompanhar TAF da SE TAN</t>
  </si>
  <si>
    <t>Relatórios de TAF</t>
  </si>
  <si>
    <t>Estudar sobre a RN 1000 e os processos de entrada de consumidores (projetos de cabines de entrada)</t>
  </si>
  <si>
    <t>Realizar estudos de transitorios eletromagnéticos e aprender a utilizar o ANATEM</t>
  </si>
  <si>
    <t>Finalizar leitura do livro Seja FODA!</t>
  </si>
  <si>
    <t>Atualizar investimentos de forma a não ter nada parado em CC</t>
  </si>
  <si>
    <t>Realizar 4h de estudos a respeito de renda fixa</t>
  </si>
  <si>
    <t>Publicar um artigo científico na área de proteção</t>
  </si>
  <si>
    <t>Desenvolver artigo científico sobre tema relevante da proteção da distribuição, utilizando resultados práticos do trabalho, e publicar em congresso</t>
  </si>
  <si>
    <t>Publicação e nome em congresso</t>
  </si>
  <si>
    <t>Analisar qual assunto pode ser desenvolvido a partir dos resultados atuais do trabalho</t>
  </si>
  <si>
    <t>Realizar estudos de transitorios eletromagnéticos e aprender a utilizar o ANATEM ou o One-liner</t>
  </si>
  <si>
    <t>Estudar sobre os padrões contrutivos de uma SE, incluindo arquitetura de serviços auxiliares, comando e redes</t>
  </si>
  <si>
    <t>Através de  cursos grátis sobre gestão e ferramentas de alta performance</t>
  </si>
  <si>
    <t>Rever conteúdo do PAC ao menos 3 vezes no ano</t>
  </si>
  <si>
    <t>Ler ao menos 5 livros sobre temas não técnicos</t>
  </si>
  <si>
    <t>Comprar livros e ler 1 a cada 3 meses</t>
  </si>
  <si>
    <t>Livros marcados com anotações e resenha dos livros</t>
  </si>
  <si>
    <t>Desenvolver duas novas habilidades</t>
  </si>
  <si>
    <t>Através de curso online ou presencial a definir</t>
  </si>
  <si>
    <t>Ter outra fonte de renda ativa ou passiva além da Energisa, que me permita cobrir metade dos gastos mensais (~1,5 k)</t>
  </si>
  <si>
    <t>Abrir negócio fora da área da engenharia que me permita ter outra fonte de renda, investir para obter renda passiva</t>
  </si>
  <si>
    <t>Extrato do banco</t>
  </si>
  <si>
    <t>Estudar sobre linhas de transmissão (padrões construtivos e parâmetros elétricos)</t>
  </si>
  <si>
    <t>Ler ao menos 3 livros sobre temas não técnicos</t>
  </si>
  <si>
    <t>Cursar doutorado</t>
  </si>
  <si>
    <t>Início doutorado</t>
  </si>
  <si>
    <t>Filtrar as universidades por nível do curso de doutorado e quais possuem possibilidade de desenvolvimento tipo sanduíche</t>
  </si>
  <si>
    <t xml:space="preserve">Lista de universidades e programas de doutorado organizadas em pasta </t>
  </si>
  <si>
    <t>Realizar cursos da plataforma da energisa: normas trabalhistas</t>
  </si>
  <si>
    <t>Publicar 1º artigo científico na área de proteção</t>
  </si>
  <si>
    <t>Definir eventos de 2024 (congressos, seminários etc.) onde é possível publicar (verificar CIDE - Congresso de Inovação na Distribuição de Energia Elétrica)</t>
  </si>
  <si>
    <t>Realização pessoal</t>
  </si>
  <si>
    <t>Alcançar os 75 kg com BF de, no máximo, 18%</t>
  </si>
  <si>
    <t>Identificar viabilidade e realizar aporte</t>
  </si>
  <si>
    <t>Ajudar 6 famílias</t>
  </si>
  <si>
    <t>Doar cestas basicas a cada dois meses e para famílias diferetes ou ajudar com trabalho</t>
  </si>
  <si>
    <t>Comprar uma casa para meus pais</t>
  </si>
  <si>
    <t>Entrar em contato com corretores, definir imóvel, definir data de ida e realizar compra</t>
  </si>
  <si>
    <t>Imóvel no meu nome</t>
  </si>
  <si>
    <t>Revisar estudos de proteção das SEs e linhas e aprender a utilizar o One-liner</t>
  </si>
  <si>
    <t>Realizar curso de ATP</t>
  </si>
  <si>
    <t>Alcançar nível C1 em prova de proficiência de inglês</t>
  </si>
  <si>
    <t>Realizar prova de proficiência</t>
  </si>
  <si>
    <t>Resultado da prova de proficiência</t>
  </si>
  <si>
    <t>Estudar sobre costrução de redes de distribuição e seus padrões</t>
  </si>
  <si>
    <t>Dominar os principais conceitos que norteiam o negócio de distribuição de energia: indicadores de qualidade e seus impactos para o negócio, visão sistêmica do negócio, transição energética</t>
  </si>
  <si>
    <t>Dominar os principais conceitos que norteiam a area de engenharia no SEP: análises de sistemas, componentes simetricas e curto-circuito, transitórios eletromagnéticos e fluxo de potência</t>
  </si>
  <si>
    <t>Realizar cursos de análise de eventos do Maezono e linkar com casos práticos</t>
  </si>
  <si>
    <t>Passar em curso de doutorado</t>
  </si>
  <si>
    <t>Submeter inscrição ao curso de doutorado</t>
  </si>
  <si>
    <t>Inscrição</t>
  </si>
  <si>
    <t>Finalizar MBA em gestão</t>
  </si>
  <si>
    <t>Desenvolver uma nova habilidade</t>
  </si>
  <si>
    <t>Valorizar meu patrimônio atual em, no mínimo, 10% através de investimentos</t>
  </si>
  <si>
    <t>Potencializar investimentos de forma a gerar progressão nos ganhos</t>
  </si>
  <si>
    <t>Rever conteúdo do PAC</t>
  </si>
  <si>
    <t>Ministrar cursos gratuitos na área de proteção</t>
  </si>
  <si>
    <t>Através de participações em cursos ministrados em canais de mídia virtual ou em cursos presenciais</t>
  </si>
  <si>
    <t>Vídeo ou algum registro dos eventos</t>
  </si>
  <si>
    <t>Aumento da minha networking na área de proteção de sistemas no Brasil</t>
  </si>
  <si>
    <t>Participação em grupos sociais relacionados ao tema</t>
  </si>
  <si>
    <t>Participação em congressos ou eventos/ feiras científicas em universidades</t>
  </si>
  <si>
    <t>Registro de partipação dos eventos científicos</t>
  </si>
  <si>
    <t>Ter lido  9 livros não técnicos</t>
  </si>
  <si>
    <t>Comprar 3 livros por ano e realizar leitura</t>
  </si>
  <si>
    <t>Ser capaz de me comunicar em espanhol</t>
  </si>
  <si>
    <t>Através de cursos em diferentes plataformas</t>
  </si>
  <si>
    <t>Consumir conteúdos no idioma, sem auxílio de "muletas" e entendê-los.</t>
  </si>
  <si>
    <t>Fazer um tour pelo Brasil</t>
  </si>
  <si>
    <t>Juntar dinheiro e, durante férias, conhecer os pontos turísticos das capitais dos estados a programar</t>
  </si>
  <si>
    <t>Fotos/ souvenirs de cada ponto turísticos das cidades</t>
  </si>
  <si>
    <t>Trocar de carro</t>
  </si>
  <si>
    <t>Juntar dinheiro, vender o carro atual e comprar outro mais novo e moderno</t>
  </si>
  <si>
    <t>Carro</t>
  </si>
  <si>
    <t>Através de rotinas de alimentação saudável, alinhadas a treino, meditação e autoconhecimento</t>
  </si>
  <si>
    <t>Ter renda passiva de R$ 1.700,00 ao mês</t>
  </si>
  <si>
    <t>Ter R$ 350.000,00 em investimentos que me possibilitem esta renda, tais como FIIs e ações</t>
  </si>
  <si>
    <t>Ter renda ativa mensal de R$ 11.000,00 ao mês</t>
  </si>
  <si>
    <t>Dar aula na área de proteção com renda de 3 k ao mês  para acrescentar renda mensal atual</t>
  </si>
  <si>
    <t>Extrato banco</t>
  </si>
  <si>
    <t>Aprender a surfar</t>
  </si>
  <si>
    <t>Durante o tour por cidade litorânea fazer aula de surf</t>
  </si>
  <si>
    <t>Fotos, vídeos</t>
  </si>
  <si>
    <t>Atuar como professor na área de proteção</t>
  </si>
  <si>
    <t>Ministrar disciplina de proteção em universidades particulares</t>
  </si>
  <si>
    <t>Recibo dos serviços prestados</t>
  </si>
  <si>
    <t>Recebendo aprovação em alguma das inscrições realizadas</t>
  </si>
  <si>
    <t>Carta de aprovação</t>
  </si>
  <si>
    <t>Sair do Acre, para local que me sinta melhor</t>
  </si>
  <si>
    <t>Definir local para morar, dependendo das oportunidades e me mudar</t>
  </si>
  <si>
    <t>Novo endereço</t>
  </si>
  <si>
    <t>Realizar pelo menos 12 aportes em renda variável</t>
  </si>
  <si>
    <t>Reservar o dinheiro para investimentos e realizar aportes mensais em FIIs, fundos de investimento ou ações</t>
  </si>
  <si>
    <t>Ter realizado  3 ações de fim de ano</t>
  </si>
  <si>
    <t>Organizar anualmente ação solidária com amigos no fim do ano (sopãp, doação de agasalho, etc.)</t>
  </si>
  <si>
    <t>Ter ajudado 12 famílias</t>
  </si>
  <si>
    <t>Ter conhecido ao menos 17 estados do Brasil</t>
  </si>
  <si>
    <t>Ter realizado parte das "disciplinas nacionais" de um programa de doutorado na área de proteção SEP</t>
  </si>
  <si>
    <t>Realizar disciplinas conforme programa</t>
  </si>
  <si>
    <t>Histórico de disciplinas</t>
  </si>
  <si>
    <t>Participação em programas de especialização de engenheiros eletricistas</t>
  </si>
  <si>
    <t>Publicar 2º artigo científico na área de proteção</t>
  </si>
  <si>
    <t>Fazer parte de conselho de classe ou órgão de influência no setor elétrico</t>
  </si>
  <si>
    <t>Desenvolvendo uma carreira sólida no setor elétrico, construindo network e buscando ter voz ativa no setor</t>
  </si>
  <si>
    <t>Nomeação, cargo, identificaçao dentro de conselho de classe</t>
  </si>
  <si>
    <t>Ministrar cursos de proteção de SEP</t>
  </si>
  <si>
    <t>Contruindo uma carreira sólida dentro do setor de proteção em SEP, desenvolvendo conhecimentos, me mantendo atualizado e construindo network</t>
  </si>
  <si>
    <t>Nota fiscal dos serviços prestados</t>
  </si>
  <si>
    <t>Ter publicado 3 artigos científicos na área de proteção de SEP</t>
  </si>
  <si>
    <t>Publicando 1 artigo nos anos de 2024, 2025 e 2026</t>
  </si>
  <si>
    <t>Comprovantes de congressos e revistas com meu nome nos artigos</t>
  </si>
  <si>
    <t>Assumir a gerência de área técnica em empresa do setor elétrico, que atue na área de SEP</t>
  </si>
  <si>
    <t>Desenvolvendo uma carreira sólida no setor elétrico, construindo network e buscando desenvolvimento com gestor</t>
  </si>
  <si>
    <t>Cargo de gerente</t>
  </si>
  <si>
    <t>Ter realizado todas as "disciplinas nacionais" de um programa de doutorado na área de proteção SEP</t>
  </si>
  <si>
    <t>Inspirar pessoas/ Ajudar a construir um mundo melhor/ fazer a diferença neste mundo</t>
  </si>
  <si>
    <t>Através do exemplo da minha vida e ações do dia a dia que impactem pessoas de forma positiva</t>
  </si>
  <si>
    <t>Ter orgulho da pessoa que me tornei</t>
  </si>
  <si>
    <t>Alcançando meus objetivos sem fazer mal a ninguém</t>
  </si>
  <si>
    <t>balanço dos meus objetivos até 2026</t>
  </si>
  <si>
    <t>Refletindo sobre os pontos importantes da minha caminhada (saúde, família, profissão, impacto no mundo, amigos, finanças etc) e buscando constantemente me tornar a minha melhor versão</t>
  </si>
  <si>
    <t>Atingir  condição de 80kg com BF de 15%</t>
  </si>
  <si>
    <t>Através de rotinas de alimentação saudável e treinos</t>
  </si>
  <si>
    <t>Morar em um local onde me sinta bem</t>
  </si>
  <si>
    <t>Montar um ambiente confortável</t>
  </si>
  <si>
    <t>Ambiente aconchegante</t>
  </si>
  <si>
    <t>Comprar minha casa ou alugar em um local bom</t>
  </si>
  <si>
    <t>Local seguro, bem localizado dentro da cidade</t>
  </si>
  <si>
    <t>Mudar para cidade com acesso a praia e belezas naturais</t>
  </si>
  <si>
    <t>Cidade com fácil acesso à praia</t>
  </si>
  <si>
    <t>Conseguir me comunicar em italiano</t>
  </si>
  <si>
    <t>Fazer cursos em diferentes plataformas</t>
  </si>
  <si>
    <t>Conseguir me comunicar em espanhol</t>
  </si>
  <si>
    <t>Consumir conteúdo no idioma</t>
  </si>
  <si>
    <t>Conseguir me comunicar em inglês</t>
  </si>
  <si>
    <t>Fazer tour pela Europa</t>
  </si>
  <si>
    <t>Juntar dinheiro e, durante as férias, viajar para um país europeu do qual seja possível conhecer os demais países de forma mais simples.</t>
  </si>
  <si>
    <t>Fotos/Souvenirs de países europeus</t>
  </si>
  <si>
    <t>Ter proporcionado ao menos 4 viagens nacionais para minha família</t>
  </si>
  <si>
    <t>Comprar passagens e incentivar as viagens  a cada ano</t>
  </si>
  <si>
    <t>Ter lido 15 livros não técnicos</t>
  </si>
  <si>
    <t xml:space="preserve">Acumulando bens através do trabalho e realizando aportes mensais em investimentos de acordo com a planilha de "Meta financeira" </t>
  </si>
  <si>
    <t>Contas dos bancos, valor dos bens materiais acumulados, extrato da bolsa de valores etc.</t>
  </si>
  <si>
    <t>Ter R$ 800.000,00 em investimentos que me possibilitem esta renda, tais como FIIs e ações</t>
  </si>
  <si>
    <t>Fazer parte de uma ONG/grupo que apoia uma causa relevante na sociedade</t>
  </si>
  <si>
    <t>Participar ativamente de organização/grupos de auxílio ao próximo</t>
  </si>
  <si>
    <t>Ter ajudado 25  famílias</t>
  </si>
  <si>
    <t>Ter realizado 5 ações de fim de ano</t>
  </si>
  <si>
    <t>22/10/2023 a 28/10/2023</t>
  </si>
  <si>
    <t>Planejamento diário</t>
  </si>
  <si>
    <t>Produtividade A</t>
  </si>
  <si>
    <t>SONO</t>
  </si>
  <si>
    <t>MEDITAÇÃO/CARDIO</t>
  </si>
  <si>
    <t>Prioridades:</t>
  </si>
  <si>
    <t>Como foi minha semana:</t>
  </si>
  <si>
    <t>CAFÉ/NOTÍCIAS/INVEST</t>
  </si>
  <si>
    <t>1.</t>
  </si>
  <si>
    <t>O que eu aprendi:</t>
  </si>
  <si>
    <t>TRABALHO</t>
  </si>
  <si>
    <t>2.</t>
  </si>
  <si>
    <t>Rever aulas iniciais do MBA e finalizar módulo 1</t>
  </si>
  <si>
    <t>3.</t>
  </si>
  <si>
    <t>Começar a rotina corretamente</t>
  </si>
  <si>
    <t>EXERCÍCIOS FÍSICOS</t>
  </si>
  <si>
    <t>4.</t>
  </si>
  <si>
    <t>Fechar pendências dos estudos das obras e rever comentários</t>
  </si>
  <si>
    <t>ALMOÇO</t>
  </si>
  <si>
    <t>5.</t>
  </si>
  <si>
    <t>DESCANSO/LANCHE</t>
  </si>
  <si>
    <t>PROTEÇÃO DO SEP</t>
  </si>
  <si>
    <t>Para ter na semana:</t>
  </si>
  <si>
    <t>Hoje sou grato por:</t>
  </si>
  <si>
    <t>GESTÃO/MBA</t>
  </si>
  <si>
    <t>FINANÇAS</t>
  </si>
  <si>
    <t>INGLÊS</t>
  </si>
  <si>
    <t>LAZER</t>
  </si>
  <si>
    <t>LEITURA</t>
  </si>
  <si>
    <t>29/10/2023 a 04/11/2023</t>
  </si>
  <si>
    <t>Não organizei</t>
  </si>
  <si>
    <t>DISTRIBUIÇÃO (NEGÓCIO)</t>
  </si>
  <si>
    <t>05/11/2023 a 11/11/2023</t>
  </si>
  <si>
    <t>Manter focado nas metas da semana</t>
  </si>
  <si>
    <t>Realizar curso de ANATEM</t>
  </si>
  <si>
    <t>Começar estudos da Tangará</t>
  </si>
  <si>
    <t>Foco no plano de trabalho</t>
  </si>
  <si>
    <t>Resiliência</t>
  </si>
  <si>
    <t>Organização</t>
  </si>
  <si>
    <t>12/11/2023 a 18/11/2023</t>
  </si>
  <si>
    <t>19/11/2023 a 25/11/2023</t>
  </si>
  <si>
    <t>00:00 h</t>
  </si>
  <si>
    <t>26/11/2023 a 02/12/2023</t>
  </si>
  <si>
    <t>MÊS</t>
  </si>
  <si>
    <t>SEMANA</t>
  </si>
  <si>
    <t>REF</t>
  </si>
  <si>
    <t>AÇÃO</t>
  </si>
  <si>
    <t>LANCHE</t>
  </si>
  <si>
    <t>ESTUDOS</t>
  </si>
  <si>
    <t>MESTRADO</t>
  </si>
  <si>
    <t>TRABALHO/LANCHE</t>
  </si>
  <si>
    <t>LIVRE</t>
  </si>
  <si>
    <t>(Tudo)</t>
  </si>
  <si>
    <t>Contagem de STATUS</t>
  </si>
  <si>
    <t>Rótulos de Coluna</t>
  </si>
  <si>
    <t>Rótulos de Linha</t>
  </si>
  <si>
    <t>Total Geral</t>
  </si>
  <si>
    <t>(Vários itens)</t>
  </si>
  <si>
    <t>2022</t>
  </si>
  <si>
    <t>jun</t>
  </si>
  <si>
    <t>Contagem de AÇÃO</t>
  </si>
  <si>
    <t>jan</t>
  </si>
  <si>
    <t>07/01/2024 a 13/01/2024</t>
  </si>
  <si>
    <t>dez</t>
  </si>
  <si>
    <t>2023</t>
  </si>
  <si>
    <t>14/01/2024 a 20/01/2024</t>
  </si>
  <si>
    <t>21/01/2024 a 27/01/2024</t>
  </si>
  <si>
    <t>28/01/2024 a 03/02/2024</t>
  </si>
  <si>
    <t>out</t>
  </si>
  <si>
    <t>2024</t>
  </si>
  <si>
    <t>fev</t>
  </si>
  <si>
    <t>nov</t>
  </si>
  <si>
    <t>2025</t>
  </si>
  <si>
    <t>set</t>
  </si>
  <si>
    <t>03/12/2023 a 09/12/2023</t>
  </si>
  <si>
    <t>2026</t>
  </si>
  <si>
    <t>10/12/2023 a 16/12/2023</t>
  </si>
  <si>
    <t>17/12/2023 a 23/12/2023</t>
  </si>
  <si>
    <t>24/12/2023 a 30/12/2023</t>
  </si>
  <si>
    <t>31/12/2023 a 06/01/2024</t>
  </si>
  <si>
    <t>mar</t>
  </si>
  <si>
    <t>ago</t>
  </si>
  <si>
    <t>Como imagino a figura da minha vida quando tiver 35 anos...</t>
  </si>
  <si>
    <r>
      <rPr>
        <sz val="10"/>
        <color rgb="FF000000"/>
        <rFont val="Calibri"/>
        <charset val="134"/>
        <scheme val="minor"/>
      </rPr>
      <t xml:space="preserve">         
       </t>
    </r>
    <r>
      <rPr>
        <b/>
        <sz val="10"/>
        <color rgb="FF000000"/>
        <rFont val="Calibri"/>
        <charset val="134"/>
        <scheme val="minor"/>
      </rPr>
      <t>PESSOAL</t>
    </r>
    <r>
      <rPr>
        <sz val="10"/>
        <color rgb="FF000000"/>
        <rFont val="Calibri"/>
        <charset val="134"/>
        <scheme val="minor"/>
      </rPr>
      <t xml:space="preserve">: Uma pessoa interessante, com boas experiências de vida, que acrescenta e que, num mundo cheio de superficialidades, consegue ser profundo e se distanciar do medíocre. Quero ser uma pessoa leve, agradável, do tipo de pessoa que faz falta. Quero ter boas amizades, poder me sentir livre pra ser quem eu sou e sentir que existe reciprocidade nas relações (Seja quem você deseja ter por perto). Quero poder olhar para trás com orgulho da minha trajetória e saber que ela inspira as pessoas a serem melhores e a perseguir seus objetivos com determinação e coragem, com a consciência tranquila de quem trabalhou duro nas suas conquistas e não precisou passar por cima de ninguém para alcançá-las. Quero ser motivo de orgulho para meus pais e irmão, podendo desfrutar e proporcionar bons momentos para quem eu amo. Quero ser uma pessoa saudável, com energia e me manter positivo sobre a vida. Quero sentir que estou avançando na vida, com propósito, por isso não desperdiço meu tempo, pois sei que cada dia é um dia a menos para fazer a diferença na minha vida e na vida de quem eu amo. 
       </t>
    </r>
    <r>
      <rPr>
        <b/>
        <sz val="10"/>
        <color rgb="FF000000"/>
        <rFont val="Calibri"/>
        <charset val="134"/>
        <scheme val="minor"/>
      </rPr>
      <t>Aspirações:</t>
    </r>
    <r>
      <rPr>
        <sz val="10"/>
        <color rgb="FF000000"/>
        <rFont val="Calibri"/>
        <charset val="134"/>
        <scheme val="minor"/>
      </rPr>
      <t xml:space="preserve"> Dar uma casa aos meus pais e proporcionar melhor qualidade de vida a eles. Quero estar morando em uma cidade onde eu me sinta bem, realizado, com acesso fácil à praia, em uma casa confortável, segura onde consiga receber minha família e amigos. Quero estar mais perto da minha família, de forma que consigamos nos encontrar mais vezes no ano. Saltar de paraquedas. Aprender a surfar. Saber me comunicar em inglês e espanhol. Ter lido ao menos 15 livros não técnicos. Quero ter visitado, pelo menos uma vez, mais da metade dos estados do Brasil e conhecer seus pontos turísticos além de ter feito 1 viagem internacional fora da América do Sul. Estar em condicão física de 80 kg com BF de 15%.
      </t>
    </r>
    <r>
      <rPr>
        <b/>
        <sz val="10"/>
        <color rgb="FF000000"/>
        <rFont val="Calibri"/>
        <charset val="134"/>
        <scheme val="minor"/>
      </rPr>
      <t>PROFISSIONAL</t>
    </r>
    <r>
      <rPr>
        <sz val="10"/>
        <color rgb="FF000000"/>
        <rFont val="Calibri"/>
        <charset val="134"/>
        <scheme val="minor"/>
      </rPr>
      <t xml:space="preserve">: Quero continuar trabalhando com gestão e conseguir desenvolver pessoas. Profissional exemplo, com voz ativa dentro do ambiente de trabalho e inspiração para novos engenheiros. Como profissional da área de SEP, que acompanha as tendências do mercado, sei como me posicionar em relação as diversas áreas do negócio, porém quero dominar minha área de atuação, proteção de sistemas elétricos, e ser referência dentro do ramo (ser referência pra mim significa ser um profissional requisitado, com projeção no mercado nacional). Quero sentir que meu trabalho faz a diferença para a sociedade e que estou contribuindo positivamente na vida das pessoas. 
      </t>
    </r>
    <r>
      <rPr>
        <b/>
        <sz val="10"/>
        <color rgb="FF000000"/>
        <rFont val="Calibri"/>
        <charset val="134"/>
        <scheme val="minor"/>
      </rPr>
      <t>Aspirações:</t>
    </r>
    <r>
      <rPr>
        <sz val="10"/>
        <color rgb="FF000000"/>
        <rFont val="Calibri"/>
        <charset val="134"/>
        <scheme val="minor"/>
      </rPr>
      <t xml:space="preserve">  Quero ter finalizado ao menos os créditos obrigatórios de um curso de doutorado. Quero ter alcançado o cargo de gerente, de preferência em uma empresa de distribuição ou transmissão de energia. Quero publicar conteúdos relevantes referentes ao tema de proteção e/ou gestão dentro de plataforma profissional (Linkedin). Quero ter publicado ao menos 3 artigos científicos dentro do tema de proteção. Ter experiência prática com comissionamento de SEs. Fazer parte de forma mais ativa de um conselho de classe ou órgão voltado a engenharia elétrica (CREA, abracopel, abradee etc.).
       </t>
    </r>
    <r>
      <rPr>
        <b/>
        <sz val="10"/>
        <color rgb="FF000000"/>
        <rFont val="Calibri"/>
        <charset val="134"/>
        <scheme val="minor"/>
      </rPr>
      <t>FINANCEIRO</t>
    </r>
    <r>
      <rPr>
        <sz val="10"/>
        <color rgb="FF000000"/>
        <rFont val="Calibri"/>
        <charset val="134"/>
        <scheme val="minor"/>
      </rPr>
      <t xml:space="preserve">: Quero saber investir com segurança em renda variável e fixa, saber selecionar bons ativos, saber realizar o valuation de uma empresa e conseguir acompanhar o mercado de forma ativa e com visão crítica. Quero ter renda passiva suficiente para cobrir meus gastos básicos mensais. Quero ter renda suficiente para conseguir realizar meus sonhos, proporcionar bons momentos com minha família e conseguir ajudar as pessoas.
      </t>
    </r>
    <r>
      <rPr>
        <b/>
        <sz val="10"/>
        <color rgb="FF000000"/>
        <rFont val="Calibri"/>
        <charset val="134"/>
        <scheme val="minor"/>
      </rPr>
      <t>Aspirações:</t>
    </r>
    <r>
      <rPr>
        <sz val="10"/>
        <color rgb="FF000000"/>
        <rFont val="Calibri"/>
        <charset val="134"/>
        <scheme val="minor"/>
      </rPr>
      <t xml:space="preserve"> Ter 750k em patrimônio de forma a me retornar uma renda passiva mensal de 4k (lógico na aba de meta financeira)
       </t>
    </r>
    <r>
      <rPr>
        <b/>
        <sz val="10"/>
        <color rgb="FF000000"/>
        <rFont val="Calibri"/>
        <charset val="134"/>
        <scheme val="minor"/>
      </rPr>
      <t>CONTRIBUIÇÃO</t>
    </r>
    <r>
      <rPr>
        <sz val="10"/>
        <color rgb="FF000000"/>
        <rFont val="Calibri"/>
        <charset val="134"/>
        <scheme val="minor"/>
      </rPr>
      <t xml:space="preserve">: Em geral, sou uma pessoa muito grata e positiva sobre a vida e sobre o que a vida fez de mim até aqui, quero preservar estes sentimentos, levar a vida com levezae transmitir esses sentimentos. Quero poder retribuir as oportunidades que a vida me deu seja no financeiro ou em experiências, poder ajudar as pessoas e trazer esperança para os que não puderam ter as mesmas oportunidades. Quero sentir que faço a diferença no mundo, sendo uma pessoa que transforma através do exemplo.
      </t>
    </r>
    <r>
      <rPr>
        <b/>
        <sz val="10"/>
        <color rgb="FF000000"/>
        <rFont val="Calibri"/>
        <charset val="134"/>
        <scheme val="minor"/>
      </rPr>
      <t>Aspirações:</t>
    </r>
    <r>
      <rPr>
        <sz val="10"/>
        <color rgb="FF000000"/>
        <rFont val="Calibri"/>
        <charset val="134"/>
        <scheme val="minor"/>
      </rPr>
      <t xml:space="preserve"> Fazer parte de uma ONG/grupo que apoia uma causa relevante na sociedade. Todos os finais de ano, juntar amigos para fazer uma ação às pessoas de rua, como distribuição de comida. A cada 2 meses, ajudar uma família (cesta básica, trabalho etc).</t>
    </r>
  </si>
  <si>
    <t>*Cálculo simplificado para ter renda passiva de 4K ao mês</t>
  </si>
  <si>
    <t>renda passiva mensal</t>
  </si>
  <si>
    <t>Ano 1</t>
  </si>
  <si>
    <t>Investimento anual de 102K (8,5K ao mês)</t>
  </si>
  <si>
    <t>ano 2</t>
  </si>
  <si>
    <t>Rentabilidade (valorização da carteira de investimentos) anual de:</t>
  </si>
  <si>
    <t>Ano 3</t>
  </si>
  <si>
    <t>Reinvestindo a rentabilidade</t>
  </si>
  <si>
    <t>Ano 4</t>
  </si>
  <si>
    <t>Considerando preço médio de FIIs de R$ 80,00 durante o período de investimento</t>
  </si>
  <si>
    <t>Ano 5</t>
  </si>
  <si>
    <t>Considerando dividendos  médios mensais dos FIIs de R$ 0,41 durante o período</t>
  </si>
  <si>
    <t>Ano 6</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</si>
</sst>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quot;R$&quot;\ #,##0.00"/>
    <numFmt numFmtId="181" formatCode="h:mm;@"/>
    <numFmt numFmtId="182" formatCode="mmm/yyyy"/>
  </numFmts>
  <fonts count="29">
    <font>
      <sz val="11"/>
      <color theme="1"/>
      <name val="Calibri"/>
      <charset val="134"/>
      <scheme val="minor"/>
    </font>
    <font>
      <sz val="10"/>
      <color theme="1"/>
      <name val="Calibri"/>
      <charset val="134"/>
      <scheme val="minor"/>
    </font>
    <font>
      <sz val="10"/>
      <color rgb="FF000000"/>
      <name val="Calibri"/>
      <charset val="134"/>
      <scheme val="minor"/>
    </font>
    <font>
      <b/>
      <sz val="10"/>
      <color theme="1"/>
      <name val="Calibri"/>
      <charset val="134"/>
      <scheme val="minor"/>
    </font>
    <font>
      <sz val="28"/>
      <color theme="1"/>
      <name val="Calibri"/>
      <charset val="134"/>
      <scheme val="minor"/>
    </font>
    <font>
      <sz val="10"/>
      <name val="Calibri"/>
      <charset val="134"/>
      <scheme val="minor"/>
    </font>
    <font>
      <sz val="8"/>
      <color theme="1"/>
      <name val="Calibri"/>
      <charset val="134"/>
      <scheme val="minor"/>
    </font>
    <font>
      <sz val="8"/>
      <color theme="1"/>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Calibri"/>
      <charset val="134"/>
      <scheme val="minor"/>
    </font>
  </fonts>
  <fills count="35">
    <fill>
      <patternFill patternType="none"/>
    </fill>
    <fill>
      <patternFill patternType="gray125"/>
    </fill>
    <fill>
      <patternFill patternType="solid">
        <fgColor rgb="FFFFFF00"/>
        <bgColor indexed="64"/>
      </patternFill>
    </fill>
    <fill>
      <patternFill patternType="solid">
        <fgColor theme="3"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4" borderId="1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8" applyNumberFormat="0" applyFill="0" applyAlignment="0" applyProtection="0">
      <alignment vertical="center"/>
    </xf>
    <xf numFmtId="0" fontId="15" fillId="0" borderId="18" applyNumberFormat="0" applyFill="0" applyAlignment="0" applyProtection="0">
      <alignment vertical="center"/>
    </xf>
    <xf numFmtId="0" fontId="16" fillId="0" borderId="19" applyNumberFormat="0" applyFill="0" applyAlignment="0" applyProtection="0">
      <alignment vertical="center"/>
    </xf>
    <xf numFmtId="0" fontId="16" fillId="0" borderId="0" applyNumberFormat="0" applyFill="0" applyBorder="0" applyAlignment="0" applyProtection="0">
      <alignment vertical="center"/>
    </xf>
    <xf numFmtId="0" fontId="17" fillId="5" borderId="20" applyNumberFormat="0" applyAlignment="0" applyProtection="0">
      <alignment vertical="center"/>
    </xf>
    <xf numFmtId="0" fontId="18" fillId="6" borderId="21" applyNumberFormat="0" applyAlignment="0" applyProtection="0">
      <alignment vertical="center"/>
    </xf>
    <xf numFmtId="0" fontId="19" fillId="6" borderId="20" applyNumberFormat="0" applyAlignment="0" applyProtection="0">
      <alignment vertical="center"/>
    </xf>
    <xf numFmtId="0" fontId="20" fillId="7" borderId="22" applyNumberFormat="0" applyAlignment="0" applyProtection="0">
      <alignment vertical="center"/>
    </xf>
    <xf numFmtId="0" fontId="21" fillId="0" borderId="23" applyNumberFormat="0" applyFill="0" applyAlignment="0" applyProtection="0">
      <alignment vertical="center"/>
    </xf>
    <xf numFmtId="0" fontId="22" fillId="0" borderId="24"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75">
    <xf numFmtId="0" fontId="0" fillId="0" borderId="0" xfId="0"/>
    <xf numFmtId="17" fontId="0" fillId="0" borderId="0" xfId="0" applyNumberFormat="1"/>
    <xf numFmtId="180" fontId="0" fillId="0" borderId="0" xfId="0" applyNumberFormat="1"/>
    <xf numFmtId="10" fontId="0" fillId="0" borderId="0" xfId="0" applyNumberFormat="1"/>
    <xf numFmtId="0" fontId="0" fillId="2" borderId="0" xfId="0" applyFill="1"/>
    <xf numFmtId="0" fontId="0" fillId="0" borderId="0" xfId="0" applyAlignment="1">
      <alignment horizontal="center"/>
    </xf>
    <xf numFmtId="0" fontId="1" fillId="0" borderId="0" xfId="0" applyFont="1" applyAlignment="1">
      <alignment vertical="top" wrapText="1"/>
    </xf>
    <xf numFmtId="0" fontId="0" fillId="0" borderId="1" xfId="0" applyBorder="1" applyAlignment="1">
      <alignment horizontal="center" vertical="center"/>
    </xf>
    <xf numFmtId="0" fontId="2" fillId="0" borderId="2" xfId="0" applyFont="1" applyBorder="1" applyAlignment="1">
      <alignment horizontal="left" vertical="top" wrapText="1"/>
    </xf>
    <xf numFmtId="0" fontId="1" fillId="0" borderId="2" xfId="0" applyFont="1" applyBorder="1" applyAlignment="1">
      <alignment horizontal="left" vertical="top" wrapText="1"/>
    </xf>
    <xf numFmtId="0" fontId="1" fillId="0" borderId="0" xfId="0" applyFont="1" applyAlignment="1">
      <alignment horizontal="left" vertical="top" wrapText="1"/>
    </xf>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58" fontId="0" fillId="0" borderId="0" xfId="0" applyNumberFormat="1" applyAlignment="1">
      <alignment horizontal="left"/>
    </xf>
    <xf numFmtId="9" fontId="0" fillId="0" borderId="0" xfId="0" applyNumberFormat="1"/>
    <xf numFmtId="0" fontId="1" fillId="0" borderId="0" xfId="0" applyFont="1"/>
    <xf numFmtId="17" fontId="1" fillId="0" borderId="0" xfId="0" applyNumberFormat="1" applyFont="1"/>
    <xf numFmtId="58" fontId="1" fillId="0" borderId="0" xfId="0" applyNumberFormat="1" applyFont="1"/>
    <xf numFmtId="20" fontId="1" fillId="0" borderId="0" xfId="0" applyNumberFormat="1" applyFont="1"/>
    <xf numFmtId="58" fontId="3" fillId="3" borderId="3" xfId="0" applyNumberFormat="1" applyFont="1" applyFill="1" applyBorder="1" applyAlignment="1">
      <alignment horizontal="center"/>
    </xf>
    <xf numFmtId="0" fontId="3" fillId="3"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4" fillId="0" borderId="8" xfId="0" applyFont="1" applyBorder="1" applyAlignment="1">
      <alignment horizontal="center" vertical="center"/>
    </xf>
    <xf numFmtId="181" fontId="1" fillId="0" borderId="0" xfId="0" applyNumberFormat="1" applyFont="1"/>
    <xf numFmtId="181" fontId="3" fillId="0" borderId="9" xfId="0" applyNumberFormat="1" applyFont="1" applyBorder="1" applyAlignment="1" applyProtection="1">
      <alignment horizontal="left"/>
      <protection locked="0"/>
    </xf>
    <xf numFmtId="0" fontId="1" fillId="0" borderId="3" xfId="0" applyFont="1" applyBorder="1" applyAlignment="1" applyProtection="1">
      <alignment horizontal="center"/>
      <protection locked="0"/>
    </xf>
    <xf numFmtId="0" fontId="1" fillId="0" borderId="10" xfId="0" applyFont="1" applyBorder="1" applyAlignment="1" applyProtection="1">
      <alignment horizontal="center"/>
      <protection locked="0"/>
    </xf>
    <xf numFmtId="0" fontId="4" fillId="0" borderId="5" xfId="0" applyFont="1" applyBorder="1" applyAlignment="1">
      <alignment horizontal="center" vertical="center"/>
    </xf>
    <xf numFmtId="0" fontId="1" fillId="0" borderId="3" xfId="0" applyFont="1" applyBorder="1" applyAlignment="1">
      <alignment horizont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8" xfId="0" applyFont="1" applyBorder="1" applyAlignment="1">
      <alignment horizontal="center" vertical="center"/>
    </xf>
    <xf numFmtId="0" fontId="1" fillId="0" borderId="5" xfId="0" applyFont="1" applyBorder="1" applyAlignment="1">
      <alignment horizontal="center" vertical="center"/>
    </xf>
    <xf numFmtId="0" fontId="4" fillId="0" borderId="0" xfId="0" applyFont="1" applyAlignment="1">
      <alignment horizontal="center" vertical="center"/>
    </xf>
    <xf numFmtId="0" fontId="4" fillId="0" borderId="6" xfId="0" applyFont="1" applyBorder="1" applyAlignment="1">
      <alignment horizontal="center" vertical="center"/>
    </xf>
    <xf numFmtId="0" fontId="1" fillId="0" borderId="4" xfId="0" applyFont="1" applyBorder="1" applyAlignment="1">
      <alignment horizontal="center"/>
    </xf>
    <xf numFmtId="0" fontId="1" fillId="0" borderId="10" xfId="0" applyFont="1" applyBorder="1" applyAlignment="1">
      <alignment horizontal="center"/>
    </xf>
    <xf numFmtId="0" fontId="3" fillId="0" borderId="11" xfId="0" applyFont="1" applyBorder="1" applyAlignment="1" applyProtection="1">
      <alignment horizontal="center" vertical="center"/>
      <protection locked="0"/>
    </xf>
    <xf numFmtId="0" fontId="5" fillId="0" borderId="13" xfId="0" applyFont="1" applyBorder="1" applyAlignment="1" applyProtection="1">
      <alignment horizontal="center" vertical="center" wrapText="1"/>
      <protection locked="0"/>
    </xf>
    <xf numFmtId="0" fontId="5" fillId="0" borderId="14" xfId="0" applyFont="1" applyBorder="1" applyAlignment="1" applyProtection="1">
      <alignment horizontal="center" vertical="center" wrapText="1"/>
      <protection locked="0"/>
    </xf>
    <xf numFmtId="0" fontId="5" fillId="0" borderId="15" xfId="0" applyFont="1" applyBorder="1" applyAlignment="1" applyProtection="1">
      <alignment horizontal="center" vertical="center" wrapText="1"/>
      <protection locked="0"/>
    </xf>
    <xf numFmtId="0" fontId="3" fillId="0" borderId="12" xfId="0" applyFont="1" applyBorder="1" applyAlignment="1" applyProtection="1">
      <alignment horizontal="center" vertical="center"/>
      <protection locked="0"/>
    </xf>
    <xf numFmtId="0" fontId="5" fillId="0" borderId="5" xfId="0" applyFont="1" applyBorder="1" applyAlignment="1" applyProtection="1">
      <alignment horizontal="center" vertical="center" wrapText="1"/>
      <protection locked="0"/>
    </xf>
    <xf numFmtId="0" fontId="5" fillId="0" borderId="6"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5" xfId="0" applyFont="1" applyBorder="1" applyAlignment="1" applyProtection="1">
      <alignment horizontal="center" vertical="center" wrapText="1"/>
      <protection locked="0"/>
    </xf>
    <xf numFmtId="0" fontId="1" fillId="0" borderId="6" xfId="0" applyFont="1" applyBorder="1" applyAlignment="1" applyProtection="1">
      <alignment horizontal="center" vertical="center" wrapText="1"/>
      <protection locked="0"/>
    </xf>
    <xf numFmtId="0" fontId="1" fillId="0" borderId="14"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15"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3" fillId="3" borderId="10" xfId="0" applyFont="1" applyFill="1" applyBorder="1" applyAlignment="1">
      <alignment horizontal="center"/>
    </xf>
    <xf numFmtId="0" fontId="4" fillId="0" borderId="16" xfId="0" applyFont="1" applyBorder="1" applyAlignment="1">
      <alignment horizontal="center" vertical="center"/>
    </xf>
    <xf numFmtId="0" fontId="4" fillId="0" borderId="7" xfId="0" applyFont="1" applyBorder="1" applyAlignment="1">
      <alignment horizontal="center" vertical="center"/>
    </xf>
    <xf numFmtId="0" fontId="1" fillId="0" borderId="0" xfId="0" applyFont="1" applyAlignment="1">
      <alignment horizontal="center"/>
    </xf>
    <xf numFmtId="0" fontId="1" fillId="0" borderId="16" xfId="0" applyFont="1" applyBorder="1" applyAlignment="1" applyProtection="1">
      <alignment horizontal="center" vertical="center" wrapText="1"/>
      <protection locked="0"/>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7" xfId="0" applyFont="1" applyBorder="1" applyAlignment="1">
      <alignment horizontal="center" vertical="center"/>
    </xf>
    <xf numFmtId="0" fontId="6" fillId="0" borderId="0" xfId="0" applyFont="1"/>
    <xf numFmtId="182" fontId="6" fillId="0" borderId="0" xfId="0" applyNumberFormat="1" applyFont="1"/>
    <xf numFmtId="0" fontId="6" fillId="0" borderId="0" xfId="0" applyFont="1" applyAlignment="1">
      <alignment wrapText="1"/>
    </xf>
    <xf numFmtId="17" fontId="6" fillId="0" borderId="0" xfId="0" applyNumberFormat="1" applyFont="1" applyAlignment="1">
      <alignment horizontal="left"/>
    </xf>
    <xf numFmtId="0" fontId="7" fillId="0" borderId="0" xfId="0" applyFont="1"/>
    <xf numFmtId="182" fontId="7" fillId="0" borderId="0" xfId="0" applyNumberFormat="1" applyFont="1"/>
    <xf numFmtId="0" fontId="7" fillId="0" borderId="0" xfId="0" applyFont="1" applyAlignment="1">
      <alignment wrapText="1"/>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4">
    <dxf>
      <font>
        <name val="Calibri"/>
        <scheme val="none"/>
        <strike val="0"/>
        <u val="none"/>
        <sz val="8"/>
        <color theme="1"/>
      </font>
    </dxf>
    <dxf>
      <font>
        <name val="Calibri"/>
        <scheme val="none"/>
        <strike val="0"/>
        <u val="none"/>
        <sz val="8"/>
        <color theme="1"/>
      </font>
    </dxf>
    <dxf>
      <font>
        <name val="Calibri"/>
        <scheme val="none"/>
        <family val="2"/>
        <b val="0"/>
        <i val="0"/>
        <strike val="0"/>
        <u val="none"/>
        <sz val="8"/>
        <color theme="1"/>
      </font>
    </dxf>
    <dxf>
      <font>
        <name val="Calibri"/>
        <scheme val="none"/>
        <family val="2"/>
        <b val="0"/>
        <i val="0"/>
        <strike val="0"/>
        <u val="none"/>
        <sz val="8"/>
        <color theme="1"/>
      </font>
    </dxf>
    <dxf>
      <font>
        <name val="Calibri"/>
        <scheme val="none"/>
        <strike val="0"/>
        <u val="none"/>
        <sz val="8"/>
        <color theme="1"/>
      </font>
      <numFmt numFmtId="182" formatCode="mmm/yyyy"/>
    </dxf>
    <dxf>
      <font>
        <name val="Calibri"/>
        <scheme val="none"/>
        <strike val="0"/>
        <u val="none"/>
        <sz val="8"/>
        <color theme="1"/>
      </font>
      <alignment wrapText="1"/>
    </dxf>
    <dxf>
      <font>
        <name val="Calibri"/>
        <scheme val="none"/>
        <strike val="0"/>
        <u val="none"/>
        <sz val="8"/>
        <color theme="1"/>
      </font>
      <alignment wrapText="1"/>
    </dxf>
    <dxf>
      <font>
        <name val="Calibri"/>
        <scheme val="none"/>
        <strike val="0"/>
        <u val="none"/>
        <sz val="8"/>
        <color theme="1"/>
      </font>
      <alignment wrapText="1"/>
    </dxf>
    <dxf>
      <font>
        <b val="1"/>
        <i val="0"/>
        <strike val="1"/>
      </font>
      <fill>
        <patternFill patternType="solid">
          <bgColor rgb="FF00B050"/>
        </patternFill>
      </fill>
    </dxf>
    <dxf>
      <font>
        <b val="1"/>
        <i val="0"/>
        <color auto="1"/>
      </font>
      <fill>
        <patternFill patternType="solid">
          <bgColor rgb="FFFF0000"/>
        </patternFill>
      </fill>
    </dxf>
    <dxf>
      <font>
        <strike val="1"/>
        <u val="none"/>
        <color rgb="FFFF0000"/>
      </font>
      <fill>
        <patternFill patternType="solid">
          <bgColor rgb="FFFFC000"/>
        </patternFill>
      </fill>
    </dxf>
    <dxf>
      <font>
        <color rgb="FF006100"/>
      </font>
      <fill>
        <patternFill patternType="solid">
          <bgColor rgb="FFC6EFCE"/>
        </patternFill>
      </fill>
    </dxf>
    <dxf>
      <fill>
        <patternFill patternType="solid">
          <bgColor rgb="FF00B05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pivotCacheDefinition" Target="pivotCache/pivotCacheDefinition2.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[Metas, objetivos e plano de ação 2026.xlsx]Acompanhamento!Tabela dinâmica1</c:name>
    <c:fmtId val="3"/>
  </c:pivotSource>
  <c:chart>
    <c:title>
      <c:tx>
        <c:rich>
          <a:bodyPr rot="0" spcFirstLastPara="1" vertOverflow="ellipsis" vert="horz" wrap="square" anchor="ctr" anchorCtr="1"/>
          <a:lstStyle/>
          <a:p>
            <a:pPr>
              <a:defRPr lang="pt-BR" sz="1400" b="0" i="0" u="none" strike="noStrike" kern="1200" spc="0" baseline="0">
                <a:solidFill>
                  <a:schemeClr val="tx1">
                    <a:lumMod val="65000"/>
                    <a:lumOff val="35000"/>
                  </a:schemeClr>
                </a:solidFill>
                <a:latin typeface="+mn-lt"/>
                <a:ea typeface="+mn-ea"/>
                <a:cs typeface="+mn-cs"/>
              </a:defRPr>
            </a:pPr>
            <a:r>
              <a:rPr lang="pt-BR"/>
              <a:t>ACOMPANHAMENTO</a:t>
            </a:r>
            <a:r>
              <a:rPr lang="pt-BR" baseline="0"/>
              <a:t> DAS METAS DIÁRIAS</a:t>
            </a:r>
            <a:endParaRPr lang="pt-BR"/>
          </a:p>
        </c:rich>
      </c:tx>
      <c:layout>
        <c:manualLayout>
          <c:xMode val="edge"/>
          <c:yMode val="edge"/>
          <c:x val="0.270314083555816"/>
          <c:y val="0.0407571843303477"/>
        </c:manualLayout>
      </c:layout>
      <c:overlay val="0"/>
      <c:spPr>
        <a:noFill/>
        <a:ln>
          <a:noFill/>
        </a:ln>
        <a:effectLst/>
      </c:spPr>
    </c:title>
    <c:autoTitleDeleted val="0"/>
    <c:plotArea>
      <c:layout/>
      <c:barChart>
        <c:barDir val="col"/>
        <c:grouping val="clustered"/>
        <c:varyColors val="0"/>
        <c:ser>
          <c:idx val="0"/>
          <c:order val="0"/>
          <c:tx>
            <c:strRef>
              <c:f>Acompanhamento!$J$35:$J$36</c:f>
              <c:strCache>
                <c:ptCount val="1"/>
                <c:pt idx="0">
                  <c:v>0</c:v>
                </c:pt>
              </c:strCache>
            </c:strRef>
          </c:tx>
          <c:spPr>
            <a:solidFill>
              <a:schemeClr val="accent1"/>
            </a:solidFill>
            <a:ln>
              <a:noFill/>
            </a:ln>
            <a:effectLst/>
          </c:spPr>
          <c:invertIfNegative val="0"/>
          <c:dLbls>
            <c:delete val="1"/>
          </c:dLbls>
          <c:cat>
            <c:multiLvlStrRef>
              <c:f>Acompanhamento!$I$37:$I$56</c:f>
              <c:multiLvlStrCache>
                <c:ptCount val="15"/>
                <c:lvl>
                  <c:pt idx="0">
                    <c:v>07/01/2024 a 13/01/2024</c:v>
                  </c:pt>
                  <c:pt idx="1">
                    <c:v>14/01/2024 a 20/01/2024</c:v>
                  </c:pt>
                  <c:pt idx="2">
                    <c:v>21/01/2024 a 27/01/2024</c:v>
                  </c:pt>
                  <c:pt idx="3">
                    <c:v>28/01/2024 a 03/02/2024</c:v>
                  </c:pt>
                  <c:pt idx="4">
                    <c:v>22/10/2023 a 28/10/2023</c:v>
                  </c:pt>
                  <c:pt idx="5">
                    <c:v>29/10/2023 a 04/11/2023</c:v>
                  </c:pt>
                  <c:pt idx="6">
                    <c:v>05/11/2023 a 11/11/2023</c:v>
                  </c:pt>
                  <c:pt idx="7">
                    <c:v>12/11/2023 a 18/11/2023</c:v>
                  </c:pt>
                  <c:pt idx="8">
                    <c:v>19/11/2023 a 25/11/2023</c:v>
                  </c:pt>
                  <c:pt idx="9">
                    <c:v>26/11/2023 a 02/12/2023</c:v>
                  </c:pt>
                  <c:pt idx="10">
                    <c:v>03/12/2023 a 09/12/2023</c:v>
                  </c:pt>
                  <c:pt idx="11">
                    <c:v>10/12/2023 a 16/12/2023</c:v>
                  </c:pt>
                  <c:pt idx="12">
                    <c:v>17/12/2023 a 23/12/2023</c:v>
                  </c:pt>
                  <c:pt idx="13">
                    <c:v>24/12/2023 a 30/12/2023</c:v>
                  </c:pt>
                  <c:pt idx="14">
                    <c:v>31/12/2023 a 06/01/2024</c:v>
                  </c:pt>
                </c:lvl>
                <c:lvl>
                  <c:pt idx="0">
                    <c:v>jan</c:v>
                  </c:pt>
                  <c:pt idx="4">
                    <c:v>out</c:v>
                  </c:pt>
                  <c:pt idx="6">
                    <c:v>nov</c:v>
                  </c:pt>
                  <c:pt idx="10">
                    <c:v>dez</c:v>
                  </c:pt>
                </c:lvl>
              </c:multiLvlStrCache>
            </c:multiLvlStrRef>
          </c:cat>
          <c:val>
            <c:numRef>
              <c:f>Acompanhamento!$J$37:$J$56</c:f>
              <c:numCache>
                <c:formatCode>0.00%</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er>
        <c:dLbls>
          <c:showLegendKey val="0"/>
          <c:showVal val="0"/>
          <c:showCatName val="0"/>
          <c:showSerName val="0"/>
          <c:showPercent val="0"/>
          <c:showBubbleSize val="0"/>
        </c:dLbls>
        <c:gapWidth val="219"/>
        <c:overlap val="-27"/>
        <c:axId val="370725472"/>
        <c:axId val="370726016"/>
      </c:barChart>
      <c:catAx>
        <c:axId val="370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900" b="0" i="0" u="none" strike="noStrike" kern="1200" baseline="0">
                <a:solidFill>
                  <a:schemeClr val="tx1">
                    <a:lumMod val="65000"/>
                    <a:lumOff val="35000"/>
                  </a:schemeClr>
                </a:solidFill>
                <a:latin typeface="+mn-lt"/>
                <a:ea typeface="+mn-ea"/>
                <a:cs typeface="+mn-cs"/>
              </a:defRPr>
            </a:pPr>
          </a:p>
        </c:txPr>
        <c:crossAx val="370726016"/>
        <c:crosses val="autoZero"/>
        <c:auto val="1"/>
        <c:lblAlgn val="ctr"/>
        <c:lblOffset val="100"/>
        <c:noMultiLvlLbl val="0"/>
      </c:catAx>
      <c:valAx>
        <c:axId val="370726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solidFill>
                  <a:schemeClr val="tx1">
                    <a:lumMod val="65000"/>
                    <a:lumOff val="35000"/>
                  </a:schemeClr>
                </a:solidFill>
                <a:latin typeface="+mn-lt"/>
                <a:ea typeface="+mn-ea"/>
                <a:cs typeface="+mn-cs"/>
              </a:defRPr>
            </a:pPr>
          </a:p>
        </c:txPr>
        <c:crossAx val="370725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pt-BR" sz="7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aa3852c-1b2f-424a-9217-802f0ebb4d8d}"/>
      </c:ext>
    </c:extLst>
  </c:chart>
  <c:spPr>
    <a:solidFill>
      <a:schemeClr val="bg1"/>
    </a:solidFill>
    <a:ln w="9525" cap="flat" cmpd="sng" algn="ctr">
      <a:solidFill>
        <a:schemeClr val="tx1">
          <a:lumMod val="15000"/>
          <a:lumOff val="85000"/>
        </a:schemeClr>
      </a:solidFill>
      <a:round/>
    </a:ln>
    <a:effectLst/>
  </c:spPr>
  <c:txPr>
    <a:bodyPr/>
    <a:lstStyle/>
    <a:p>
      <a:pPr>
        <a:defRPr lang="pt-BR"/>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[Metas, objetivos e plano de ação 2026.xlsx]Acompanhamento!Tabela dinâmica3</c:name>
    <c:fmtId val="5"/>
  </c:pivotSource>
  <c:chart>
    <c:title>
      <c:tx>
        <c:rich>
          <a:bodyPr rot="0" spcFirstLastPara="1" vertOverflow="ellipsis" vert="horz" wrap="square" anchor="ctr" anchorCtr="1"/>
          <a:lstStyle/>
          <a:p>
            <a:pPr>
              <a:defRPr lang="pt-BR" sz="1400" b="0" i="0" u="none" strike="noStrike" kern="1200" spc="0" baseline="0">
                <a:solidFill>
                  <a:schemeClr val="tx1">
                    <a:lumMod val="65000"/>
                    <a:lumOff val="35000"/>
                  </a:schemeClr>
                </a:solidFill>
                <a:latin typeface="+mn-lt"/>
                <a:ea typeface="+mn-ea"/>
                <a:cs typeface="+mn-cs"/>
              </a:defRPr>
            </a:pPr>
            <a:r>
              <a:rPr lang="pt-BR"/>
              <a:t>ACOMPANHAMENTO DAS</a:t>
            </a:r>
            <a:r>
              <a:rPr lang="pt-BR" baseline="0"/>
              <a:t> METAS DE LONGO, MÉDIO E CURTO PRAZO</a:t>
            </a:r>
            <a:endParaRPr lang="pt-BR"/>
          </a:p>
        </c:rich>
      </c:tx>
      <c:layout>
        <c:manualLayout>
          <c:xMode val="edge"/>
          <c:yMode val="edge"/>
          <c:x val="0.0876826318335752"/>
          <c:y val="0.0407941766720343"/>
        </c:manualLayout>
      </c:layout>
      <c:overlay val="0"/>
      <c:spPr>
        <a:noFill/>
        <a:ln>
          <a:noFill/>
        </a:ln>
        <a:effectLst/>
      </c:spPr>
    </c:title>
    <c:autoTitleDeleted val="0"/>
    <c:plotArea>
      <c:layout>
        <c:manualLayout>
          <c:layoutTarget val="inner"/>
          <c:xMode val="edge"/>
          <c:yMode val="edge"/>
          <c:x val="0.0470102524942729"/>
          <c:y val="0.0927166487608738"/>
          <c:w val="0.787932137681983"/>
          <c:h val="0.641908269940834"/>
        </c:manualLayout>
      </c:layout>
      <c:barChart>
        <c:barDir val="col"/>
        <c:grouping val="percentStacked"/>
        <c:varyColors val="0"/>
        <c:ser>
          <c:idx val="0"/>
          <c:order val="0"/>
          <c:tx>
            <c:strRef>
              <c:f>Acompanhamento!$B$31:$B$32</c:f>
              <c:strCache>
                <c:ptCount val="1"/>
                <c:pt idx="0">
                  <c:v>EM ANDAMENTO</c:v>
                </c:pt>
              </c:strCache>
            </c:strRef>
          </c:tx>
          <c:spPr>
            <a:solidFill>
              <a:schemeClr val="bg1">
                <a:lumMod val="75000"/>
              </a:schemeClr>
            </a:solidFill>
            <a:ln>
              <a:noFill/>
            </a:ln>
            <a:effectLst/>
          </c:spPr>
          <c:invertIfNegative val="0"/>
          <c:dLbls>
            <c:delete val="1"/>
          </c:dLbls>
          <c:cat>
            <c:multiLvlStrRef>
              <c:f>Acompanhamento!$A$33:$A$65</c:f>
              <c:multiLvlStrCache>
                <c:ptCount val="24"/>
                <c:lvl>
                  <c:pt idx="0">
                    <c:v>Financeiro</c:v>
                  </c:pt>
                  <c:pt idx="1">
                    <c:v>Pessoal</c:v>
                  </c:pt>
                  <c:pt idx="2">
                    <c:v>Profissional</c:v>
                  </c:pt>
                  <c:pt idx="3">
                    <c:v>Contribuição</c:v>
                  </c:pt>
                  <c:pt idx="4">
                    <c:v>Financeiro</c:v>
                  </c:pt>
                  <c:pt idx="5">
                    <c:v>Pessoal</c:v>
                  </c:pt>
                  <c:pt idx="6">
                    <c:v>Profissional</c:v>
                  </c:pt>
                  <c:pt idx="7">
                    <c:v>Contribuição</c:v>
                  </c:pt>
                  <c:pt idx="8">
                    <c:v>Financeiro</c:v>
                  </c:pt>
                  <c:pt idx="9">
                    <c:v>Pessoal</c:v>
                  </c:pt>
                  <c:pt idx="10">
                    <c:v>Profissional</c:v>
                  </c:pt>
                  <c:pt idx="11">
                    <c:v>Contribuição</c:v>
                  </c:pt>
                  <c:pt idx="12">
                    <c:v>Financeiro</c:v>
                  </c:pt>
                  <c:pt idx="13">
                    <c:v>Pessoal</c:v>
                  </c:pt>
                  <c:pt idx="14">
                    <c:v>Profissional</c:v>
                  </c:pt>
                  <c:pt idx="15">
                    <c:v>Profissional</c:v>
                  </c:pt>
                  <c:pt idx="16">
                    <c:v>Financeiro</c:v>
                  </c:pt>
                  <c:pt idx="17">
                    <c:v>Pessoal</c:v>
                  </c:pt>
                  <c:pt idx="18">
                    <c:v>Profissional</c:v>
                  </c:pt>
                  <c:pt idx="19">
                    <c:v>Contribuição</c:v>
                  </c:pt>
                  <c:pt idx="20">
                    <c:v>Financeiro</c:v>
                  </c:pt>
                  <c:pt idx="21">
                    <c:v>Pessoal</c:v>
                  </c:pt>
                  <c:pt idx="22">
                    <c:v>Profissional</c:v>
                  </c:pt>
                  <c:pt idx="23">
                    <c:v>Profissional</c:v>
                  </c:pt>
                </c:lvl>
                <c:lvl>
                  <c:pt idx="0">
                    <c:v>Curto</c:v>
                  </c:pt>
                  <c:pt idx="4">
                    <c:v>Longo</c:v>
                  </c:pt>
                  <c:pt idx="8">
                    <c:v>Médio</c:v>
                  </c:pt>
                  <c:pt idx="12">
                    <c:v>Semana 1</c:v>
                  </c:pt>
                  <c:pt idx="15">
                    <c:v>Semana 2</c:v>
                  </c:pt>
                  <c:pt idx="16">
                    <c:v>Mensal</c:v>
                  </c:pt>
                  <c:pt idx="20">
                    <c:v>Semana 3</c:v>
                  </c:pt>
                  <c:pt idx="23">
                    <c:v>Semana 4</c:v>
                  </c:pt>
                </c:lvl>
              </c:multiLvlStrCache>
            </c:multiLvlStrRef>
          </c:cat>
          <c:val>
            <c:numRef>
              <c:f>Acompanhamento!$B$33:$B$65</c:f>
              <c:numCache>
                <c:formatCode>0.00%</c:formatCode>
                <c:ptCount val="24"/>
                <c:pt idx="0">
                  <c:v>0.222222222222222</c:v>
                </c:pt>
                <c:pt idx="1">
                  <c:v>0.6</c:v>
                </c:pt>
                <c:pt idx="2">
                  <c:v>0.25</c:v>
                </c:pt>
                <c:pt idx="3">
                  <c:v>0.666666666666667</c:v>
                </c:pt>
                <c:pt idx="4">
                  <c:v>1</c:v>
                </c:pt>
                <c:pt idx="5">
                  <c:v>1</c:v>
                </c:pt>
                <c:pt idx="6">
                  <c:v>1</c:v>
                </c:pt>
                <c:pt idx="7">
                  <c:v>1</c:v>
                </c:pt>
                <c:pt idx="8">
                  <c:v>1</c:v>
                </c:pt>
                <c:pt idx="9">
                  <c:v>1</c:v>
                </c:pt>
                <c:pt idx="10">
                  <c:v>1</c:v>
                </c:pt>
                <c:pt idx="11">
                  <c:v>1</c:v>
                </c:pt>
                <c:pt idx="12">
                  <c:v>0</c:v>
                </c:pt>
                <c:pt idx="13">
                  <c:v>0</c:v>
                </c:pt>
                <c:pt idx="14">
                  <c:v>0.2</c:v>
                </c:pt>
                <c:pt idx="15">
                  <c:v>1</c:v>
                </c:pt>
                <c:pt idx="16">
                  <c:v>0.461538461538462</c:v>
                </c:pt>
                <c:pt idx="17">
                  <c:v>0.529411764705882</c:v>
                </c:pt>
                <c:pt idx="18">
                  <c:v>0.694444444444444</c:v>
                </c:pt>
                <c:pt idx="19">
                  <c:v>0.5</c:v>
                </c:pt>
                <c:pt idx="20">
                  <c:v>0.75</c:v>
                </c:pt>
                <c:pt idx="21">
                  <c:v>0.5</c:v>
                </c:pt>
                <c:pt idx="22">
                  <c:v>0.2</c:v>
                </c:pt>
                <c:pt idx="23">
                  <c:v>1</c:v>
                </c:pt>
              </c:numCache>
            </c:numRef>
          </c:val>
        </c:ser>
        <c:ser>
          <c:idx val="1"/>
          <c:order val="1"/>
          <c:tx>
            <c:strRef>
              <c:f>Acompanhamento!$C$31:$C$32</c:f>
              <c:strCache>
                <c:ptCount val="1"/>
                <c:pt idx="0">
                  <c:v>CONCLUÍDO</c:v>
                </c:pt>
              </c:strCache>
            </c:strRef>
          </c:tx>
          <c:spPr>
            <a:solidFill>
              <a:srgbClr val="00B050"/>
            </a:solidFill>
            <a:ln>
              <a:noFill/>
            </a:ln>
            <a:effectLst/>
          </c:spPr>
          <c:invertIfNegative val="0"/>
          <c:dLbls>
            <c:delete val="1"/>
          </c:dLbls>
          <c:cat>
            <c:multiLvlStrRef>
              <c:f>Acompanhamento!$A$33:$A$65</c:f>
              <c:multiLvlStrCache>
                <c:ptCount val="24"/>
                <c:lvl>
                  <c:pt idx="0">
                    <c:v>Financeiro</c:v>
                  </c:pt>
                  <c:pt idx="1">
                    <c:v>Pessoal</c:v>
                  </c:pt>
                  <c:pt idx="2">
                    <c:v>Profissional</c:v>
                  </c:pt>
                  <c:pt idx="3">
                    <c:v>Contribuição</c:v>
                  </c:pt>
                  <c:pt idx="4">
                    <c:v>Financeiro</c:v>
                  </c:pt>
                  <c:pt idx="5">
                    <c:v>Pessoal</c:v>
                  </c:pt>
                  <c:pt idx="6">
                    <c:v>Profissional</c:v>
                  </c:pt>
                  <c:pt idx="7">
                    <c:v>Contribuição</c:v>
                  </c:pt>
                  <c:pt idx="8">
                    <c:v>Financeiro</c:v>
                  </c:pt>
                  <c:pt idx="9">
                    <c:v>Pessoal</c:v>
                  </c:pt>
                  <c:pt idx="10">
                    <c:v>Profissional</c:v>
                  </c:pt>
                  <c:pt idx="11">
                    <c:v>Contribuição</c:v>
                  </c:pt>
                  <c:pt idx="12">
                    <c:v>Financeiro</c:v>
                  </c:pt>
                  <c:pt idx="13">
                    <c:v>Pessoal</c:v>
                  </c:pt>
                  <c:pt idx="14">
                    <c:v>Profissional</c:v>
                  </c:pt>
                  <c:pt idx="15">
                    <c:v>Profissional</c:v>
                  </c:pt>
                  <c:pt idx="16">
                    <c:v>Financeiro</c:v>
                  </c:pt>
                  <c:pt idx="17">
                    <c:v>Pessoal</c:v>
                  </c:pt>
                  <c:pt idx="18">
                    <c:v>Profissional</c:v>
                  </c:pt>
                  <c:pt idx="19">
                    <c:v>Contribuição</c:v>
                  </c:pt>
                  <c:pt idx="20">
                    <c:v>Financeiro</c:v>
                  </c:pt>
                  <c:pt idx="21">
                    <c:v>Pessoal</c:v>
                  </c:pt>
                  <c:pt idx="22">
                    <c:v>Profissional</c:v>
                  </c:pt>
                  <c:pt idx="23">
                    <c:v>Profissional</c:v>
                  </c:pt>
                </c:lvl>
                <c:lvl>
                  <c:pt idx="0">
                    <c:v>Curto</c:v>
                  </c:pt>
                  <c:pt idx="4">
                    <c:v>Longo</c:v>
                  </c:pt>
                  <c:pt idx="8">
                    <c:v>Médio</c:v>
                  </c:pt>
                  <c:pt idx="12">
                    <c:v>Semana 1</c:v>
                  </c:pt>
                  <c:pt idx="15">
                    <c:v>Semana 2</c:v>
                  </c:pt>
                  <c:pt idx="16">
                    <c:v>Mensal</c:v>
                  </c:pt>
                  <c:pt idx="20">
                    <c:v>Semana 3</c:v>
                  </c:pt>
                  <c:pt idx="23">
                    <c:v>Semana 4</c:v>
                  </c:pt>
                </c:lvl>
              </c:multiLvlStrCache>
            </c:multiLvlStrRef>
          </c:cat>
          <c:val>
            <c:numRef>
              <c:f>Acompanhamento!$C$33:$C$65</c:f>
              <c:numCache>
                <c:formatCode>0.00%</c:formatCode>
                <c:ptCount val="24"/>
                <c:pt idx="0">
                  <c:v>0.111111111111111</c:v>
                </c:pt>
                <c:pt idx="1">
                  <c:v>0.0666666666666667</c:v>
                </c:pt>
                <c:pt idx="2">
                  <c:v>0.0416666666666667</c:v>
                </c:pt>
                <c:pt idx="3">
                  <c:v>0.333333333333333</c:v>
                </c:pt>
                <c:pt idx="4">
                  <c:v>0</c:v>
                </c:pt>
                <c:pt idx="5">
                  <c:v>0</c:v>
                </c:pt>
                <c:pt idx="6">
                  <c:v>0</c:v>
                </c:pt>
                <c:pt idx="7">
                  <c:v>0</c:v>
                </c:pt>
                <c:pt idx="8">
                  <c:v>0</c:v>
                </c:pt>
                <c:pt idx="9">
                  <c:v>0</c:v>
                </c:pt>
                <c:pt idx="10">
                  <c:v>0</c:v>
                </c:pt>
                <c:pt idx="11">
                  <c:v>0</c:v>
                </c:pt>
                <c:pt idx="12">
                  <c:v>0.5</c:v>
                </c:pt>
                <c:pt idx="13">
                  <c:v>0.142857142857143</c:v>
                </c:pt>
                <c:pt idx="14">
                  <c:v>0</c:v>
                </c:pt>
                <c:pt idx="15">
                  <c:v>0</c:v>
                </c:pt>
                <c:pt idx="16">
                  <c:v>0.307692307692308</c:v>
                </c:pt>
                <c:pt idx="17">
                  <c:v>0.117647058823529</c:v>
                </c:pt>
                <c:pt idx="18">
                  <c:v>0.0833333333333333</c:v>
                </c:pt>
                <c:pt idx="19">
                  <c:v>0.5</c:v>
                </c:pt>
                <c:pt idx="20">
                  <c:v>0.25</c:v>
                </c:pt>
                <c:pt idx="21">
                  <c:v>0.25</c:v>
                </c:pt>
                <c:pt idx="22">
                  <c:v>0.8</c:v>
                </c:pt>
                <c:pt idx="23">
                  <c:v>0</c:v>
                </c:pt>
              </c:numCache>
            </c:numRef>
          </c:val>
        </c:ser>
        <c:ser>
          <c:idx val="2"/>
          <c:order val="2"/>
          <c:tx>
            <c:strRef>
              <c:f>Acompanhamento!$D$31:$D$32</c:f>
              <c:strCache>
                <c:ptCount val="1"/>
                <c:pt idx="0">
                  <c:v>PENDENTE</c:v>
                </c:pt>
              </c:strCache>
            </c:strRef>
          </c:tx>
          <c:spPr>
            <a:solidFill>
              <a:srgbClr val="FF0000"/>
            </a:solidFill>
            <a:ln>
              <a:noFill/>
            </a:ln>
            <a:effectLst/>
          </c:spPr>
          <c:invertIfNegative val="0"/>
          <c:dLbls>
            <c:delete val="1"/>
          </c:dLbls>
          <c:cat>
            <c:multiLvlStrRef>
              <c:f>Acompanhamento!$A$33:$A$65</c:f>
              <c:multiLvlStrCache>
                <c:ptCount val="24"/>
                <c:lvl>
                  <c:pt idx="0">
                    <c:v>Financeiro</c:v>
                  </c:pt>
                  <c:pt idx="1">
                    <c:v>Pessoal</c:v>
                  </c:pt>
                  <c:pt idx="2">
                    <c:v>Profissional</c:v>
                  </c:pt>
                  <c:pt idx="3">
                    <c:v>Contribuição</c:v>
                  </c:pt>
                  <c:pt idx="4">
                    <c:v>Financeiro</c:v>
                  </c:pt>
                  <c:pt idx="5">
                    <c:v>Pessoal</c:v>
                  </c:pt>
                  <c:pt idx="6">
                    <c:v>Profissional</c:v>
                  </c:pt>
                  <c:pt idx="7">
                    <c:v>Contribuição</c:v>
                  </c:pt>
                  <c:pt idx="8">
                    <c:v>Financeiro</c:v>
                  </c:pt>
                  <c:pt idx="9">
                    <c:v>Pessoal</c:v>
                  </c:pt>
                  <c:pt idx="10">
                    <c:v>Profissional</c:v>
                  </c:pt>
                  <c:pt idx="11">
                    <c:v>Contribuição</c:v>
                  </c:pt>
                  <c:pt idx="12">
                    <c:v>Financeiro</c:v>
                  </c:pt>
                  <c:pt idx="13">
                    <c:v>Pessoal</c:v>
                  </c:pt>
                  <c:pt idx="14">
                    <c:v>Profissional</c:v>
                  </c:pt>
                  <c:pt idx="15">
                    <c:v>Profissional</c:v>
                  </c:pt>
                  <c:pt idx="16">
                    <c:v>Financeiro</c:v>
                  </c:pt>
                  <c:pt idx="17">
                    <c:v>Pessoal</c:v>
                  </c:pt>
                  <c:pt idx="18">
                    <c:v>Profissional</c:v>
                  </c:pt>
                  <c:pt idx="19">
                    <c:v>Contribuição</c:v>
                  </c:pt>
                  <c:pt idx="20">
                    <c:v>Financeiro</c:v>
                  </c:pt>
                  <c:pt idx="21">
                    <c:v>Pessoal</c:v>
                  </c:pt>
                  <c:pt idx="22">
                    <c:v>Profissional</c:v>
                  </c:pt>
                  <c:pt idx="23">
                    <c:v>Profissional</c:v>
                  </c:pt>
                </c:lvl>
                <c:lvl>
                  <c:pt idx="0">
                    <c:v>Curto</c:v>
                  </c:pt>
                  <c:pt idx="4">
                    <c:v>Longo</c:v>
                  </c:pt>
                  <c:pt idx="8">
                    <c:v>Médio</c:v>
                  </c:pt>
                  <c:pt idx="12">
                    <c:v>Semana 1</c:v>
                  </c:pt>
                  <c:pt idx="15">
                    <c:v>Semana 2</c:v>
                  </c:pt>
                  <c:pt idx="16">
                    <c:v>Mensal</c:v>
                  </c:pt>
                  <c:pt idx="20">
                    <c:v>Semana 3</c:v>
                  </c:pt>
                  <c:pt idx="23">
                    <c:v>Semana 4</c:v>
                  </c:pt>
                </c:lvl>
              </c:multiLvlStrCache>
            </c:multiLvlStrRef>
          </c:cat>
          <c:val>
            <c:numRef>
              <c:f>Acompanhamento!$D$33:$D$65</c:f>
              <c:numCache>
                <c:formatCode>0.00%</c:formatCode>
                <c:ptCount val="24"/>
                <c:pt idx="0">
                  <c:v>0.333333333333333</c:v>
                </c:pt>
                <c:pt idx="1">
                  <c:v>0.133333333333333</c:v>
                </c:pt>
                <c:pt idx="2">
                  <c:v>0.458333333333333</c:v>
                </c:pt>
                <c:pt idx="3">
                  <c:v>0</c:v>
                </c:pt>
                <c:pt idx="4">
                  <c:v>0</c:v>
                </c:pt>
                <c:pt idx="5">
                  <c:v>0</c:v>
                </c:pt>
                <c:pt idx="6">
                  <c:v>0</c:v>
                </c:pt>
                <c:pt idx="7">
                  <c:v>0</c:v>
                </c:pt>
                <c:pt idx="8">
                  <c:v>0</c:v>
                </c:pt>
                <c:pt idx="9">
                  <c:v>0</c:v>
                </c:pt>
                <c:pt idx="10">
                  <c:v>0</c:v>
                </c:pt>
                <c:pt idx="11">
                  <c:v>0</c:v>
                </c:pt>
                <c:pt idx="12">
                  <c:v>0.5</c:v>
                </c:pt>
                <c:pt idx="13">
                  <c:v>0.857142857142857</c:v>
                </c:pt>
                <c:pt idx="14">
                  <c:v>0.8</c:v>
                </c:pt>
                <c:pt idx="15">
                  <c:v>0</c:v>
                </c:pt>
                <c:pt idx="16">
                  <c:v>0.153846153846154</c:v>
                </c:pt>
                <c:pt idx="17">
                  <c:v>0.352941176470588</c:v>
                </c:pt>
                <c:pt idx="18">
                  <c:v>0.194444444444444</c:v>
                </c:pt>
                <c:pt idx="19">
                  <c:v>0</c:v>
                </c:pt>
                <c:pt idx="20">
                  <c:v>0</c:v>
                </c:pt>
                <c:pt idx="21">
                  <c:v>0.25</c:v>
                </c:pt>
                <c:pt idx="22">
                  <c:v>0</c:v>
                </c:pt>
                <c:pt idx="23">
                  <c:v>0</c:v>
                </c:pt>
              </c:numCache>
            </c:numRef>
          </c:val>
        </c:ser>
        <c:ser>
          <c:idx val="3"/>
          <c:order val="3"/>
          <c:tx>
            <c:strRef>
              <c:f>Acompanhamento!$E$31:$E$32</c:f>
              <c:strCache>
                <c:ptCount val="1"/>
                <c:pt idx="0">
                  <c:v>CANCELADO</c:v>
                </c:pt>
              </c:strCache>
            </c:strRef>
          </c:tx>
          <c:spPr>
            <a:solidFill>
              <a:schemeClr val="accent4"/>
            </a:solidFill>
            <a:ln>
              <a:noFill/>
            </a:ln>
            <a:effectLst/>
          </c:spPr>
          <c:invertIfNegative val="0"/>
          <c:dLbls>
            <c:delete val="1"/>
          </c:dLbls>
          <c:cat>
            <c:multiLvlStrRef>
              <c:f>Acompanhamento!$A$33:$A$65</c:f>
              <c:multiLvlStrCache>
                <c:ptCount val="24"/>
                <c:lvl>
                  <c:pt idx="0">
                    <c:v>Financeiro</c:v>
                  </c:pt>
                  <c:pt idx="1">
                    <c:v>Pessoal</c:v>
                  </c:pt>
                  <c:pt idx="2">
                    <c:v>Profissional</c:v>
                  </c:pt>
                  <c:pt idx="3">
                    <c:v>Contribuição</c:v>
                  </c:pt>
                  <c:pt idx="4">
                    <c:v>Financeiro</c:v>
                  </c:pt>
                  <c:pt idx="5">
                    <c:v>Pessoal</c:v>
                  </c:pt>
                  <c:pt idx="6">
                    <c:v>Profissional</c:v>
                  </c:pt>
                  <c:pt idx="7">
                    <c:v>Contribuição</c:v>
                  </c:pt>
                  <c:pt idx="8">
                    <c:v>Financeiro</c:v>
                  </c:pt>
                  <c:pt idx="9">
                    <c:v>Pessoal</c:v>
                  </c:pt>
                  <c:pt idx="10">
                    <c:v>Profissional</c:v>
                  </c:pt>
                  <c:pt idx="11">
                    <c:v>Contribuição</c:v>
                  </c:pt>
                  <c:pt idx="12">
                    <c:v>Financeiro</c:v>
                  </c:pt>
                  <c:pt idx="13">
                    <c:v>Pessoal</c:v>
                  </c:pt>
                  <c:pt idx="14">
                    <c:v>Profissional</c:v>
                  </c:pt>
                  <c:pt idx="15">
                    <c:v>Profissional</c:v>
                  </c:pt>
                  <c:pt idx="16">
                    <c:v>Financeiro</c:v>
                  </c:pt>
                  <c:pt idx="17">
                    <c:v>Pessoal</c:v>
                  </c:pt>
                  <c:pt idx="18">
                    <c:v>Profissional</c:v>
                  </c:pt>
                  <c:pt idx="19">
                    <c:v>Contribuição</c:v>
                  </c:pt>
                  <c:pt idx="20">
                    <c:v>Financeiro</c:v>
                  </c:pt>
                  <c:pt idx="21">
                    <c:v>Pessoal</c:v>
                  </c:pt>
                  <c:pt idx="22">
                    <c:v>Profissional</c:v>
                  </c:pt>
                  <c:pt idx="23">
                    <c:v>Profissional</c:v>
                  </c:pt>
                </c:lvl>
                <c:lvl>
                  <c:pt idx="0">
                    <c:v>Curto</c:v>
                  </c:pt>
                  <c:pt idx="4">
                    <c:v>Longo</c:v>
                  </c:pt>
                  <c:pt idx="8">
                    <c:v>Médio</c:v>
                  </c:pt>
                  <c:pt idx="12">
                    <c:v>Semana 1</c:v>
                  </c:pt>
                  <c:pt idx="15">
                    <c:v>Semana 2</c:v>
                  </c:pt>
                  <c:pt idx="16">
                    <c:v>Mensal</c:v>
                  </c:pt>
                  <c:pt idx="20">
                    <c:v>Semana 3</c:v>
                  </c:pt>
                  <c:pt idx="23">
                    <c:v>Semana 4</c:v>
                  </c:pt>
                </c:lvl>
              </c:multiLvlStrCache>
            </c:multiLvlStrRef>
          </c:cat>
          <c:val>
            <c:numRef>
              <c:f>Acompanhamento!$E$33:$E$65</c:f>
              <c:numCache>
                <c:formatCode>0.00%</c:formatCode>
                <c:ptCount val="24"/>
                <c:pt idx="0">
                  <c:v>0.333333333333333</c:v>
                </c:pt>
                <c:pt idx="1">
                  <c:v>0.2</c:v>
                </c:pt>
                <c:pt idx="2">
                  <c:v>0.25</c:v>
                </c:pt>
                <c:pt idx="3">
                  <c:v>0</c:v>
                </c:pt>
                <c:pt idx="4">
                  <c:v>0</c:v>
                </c:pt>
                <c:pt idx="5">
                  <c:v>0</c:v>
                </c:pt>
                <c:pt idx="6">
                  <c:v>0</c:v>
                </c:pt>
                <c:pt idx="7">
                  <c:v>0</c:v>
                </c:pt>
                <c:pt idx="8">
                  <c:v>0</c:v>
                </c:pt>
                <c:pt idx="9">
                  <c:v>0</c:v>
                </c:pt>
                <c:pt idx="10">
                  <c:v>0</c:v>
                </c:pt>
                <c:pt idx="11">
                  <c:v>0</c:v>
                </c:pt>
                <c:pt idx="12">
                  <c:v>0</c:v>
                </c:pt>
                <c:pt idx="13">
                  <c:v>0</c:v>
                </c:pt>
                <c:pt idx="14">
                  <c:v>0</c:v>
                </c:pt>
                <c:pt idx="15">
                  <c:v>0</c:v>
                </c:pt>
                <c:pt idx="16">
                  <c:v>0.0769230769230769</c:v>
                </c:pt>
                <c:pt idx="17">
                  <c:v>0</c:v>
                </c:pt>
                <c:pt idx="18">
                  <c:v>0.0277777777777778</c:v>
                </c:pt>
                <c:pt idx="19">
                  <c:v>0</c:v>
                </c:pt>
                <c:pt idx="20">
                  <c:v>0</c:v>
                </c:pt>
                <c:pt idx="21">
                  <c:v>0</c:v>
                </c:pt>
                <c:pt idx="22">
                  <c:v>0</c:v>
                </c:pt>
                <c:pt idx="23">
                  <c:v>0</c:v>
                </c:pt>
              </c:numCache>
            </c:numRef>
          </c:val>
        </c:ser>
        <c:dLbls>
          <c:showLegendKey val="0"/>
          <c:showVal val="0"/>
          <c:showCatName val="0"/>
          <c:showSerName val="0"/>
          <c:showPercent val="0"/>
          <c:showBubbleSize val="0"/>
        </c:dLbls>
        <c:gapWidth val="219"/>
        <c:overlap val="100"/>
        <c:axId val="370736352"/>
        <c:axId val="370730912"/>
      </c:barChart>
      <c:catAx>
        <c:axId val="3707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900" b="0" i="0" u="none" strike="noStrike" kern="1200" baseline="0">
                <a:solidFill>
                  <a:schemeClr val="tx1">
                    <a:lumMod val="65000"/>
                    <a:lumOff val="35000"/>
                  </a:schemeClr>
                </a:solidFill>
                <a:latin typeface="+mn-lt"/>
                <a:ea typeface="+mn-ea"/>
                <a:cs typeface="+mn-cs"/>
              </a:defRPr>
            </a:pPr>
          </a:p>
        </c:txPr>
        <c:crossAx val="370730912"/>
        <c:crosses val="autoZero"/>
        <c:auto val="1"/>
        <c:lblAlgn val="ctr"/>
        <c:lblOffset val="100"/>
        <c:noMultiLvlLbl val="0"/>
      </c:catAx>
      <c:valAx>
        <c:axId val="370730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solidFill>
                  <a:schemeClr val="tx1">
                    <a:lumMod val="65000"/>
                    <a:lumOff val="35000"/>
                  </a:schemeClr>
                </a:solidFill>
                <a:latin typeface="+mn-lt"/>
                <a:ea typeface="+mn-ea"/>
                <a:cs typeface="+mn-cs"/>
              </a:defRPr>
            </a:pPr>
          </a:p>
        </c:txPr>
        <c:crossAx val="370736352"/>
        <c:crosses val="autoZero"/>
        <c:crossBetween val="between"/>
      </c:valAx>
      <c:spPr>
        <a:noFill/>
        <a:ln>
          <a:noFill/>
        </a:ln>
        <a:effectLst/>
      </c:spPr>
    </c:plotArea>
    <c:legend>
      <c:legendPos val="r"/>
      <c:layout>
        <c:manualLayout>
          <c:xMode val="edge"/>
          <c:yMode val="edge"/>
          <c:x val="0.86878179414801"/>
          <c:y val="0.439307941602731"/>
          <c:w val="0.131068820324952"/>
          <c:h val="0.188456608525387"/>
        </c:manualLayout>
      </c:layout>
      <c:overlay val="0"/>
      <c:spPr>
        <a:noFill/>
        <a:ln>
          <a:noFill/>
        </a:ln>
        <a:effectLst/>
      </c:spPr>
      <c:txPr>
        <a:bodyPr rot="0" spcFirstLastPara="1" vertOverflow="ellipsis" vert="horz" wrap="square" anchor="ctr" anchorCtr="1"/>
        <a:lstStyle/>
        <a:p>
          <a:pPr>
            <a:defRPr lang="pt-BR" sz="7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bfae948-d034-4d89-91d1-463d5597c0ae}"/>
      </c:ext>
    </c:extLst>
  </c:chart>
  <c:spPr>
    <a:solidFill>
      <a:schemeClr val="bg1"/>
    </a:solidFill>
    <a:ln w="9525" cap="flat" cmpd="sng" algn="ctr">
      <a:solidFill>
        <a:schemeClr val="tx1">
          <a:lumMod val="15000"/>
          <a:lumOff val="85000"/>
        </a:schemeClr>
      </a:solidFill>
      <a:round/>
    </a:ln>
    <a:effectLst/>
  </c:spPr>
  <c:txPr>
    <a:bodyPr/>
    <a:lstStyle/>
    <a:p>
      <a:pPr>
        <a:defRPr lang="pt-BR"/>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[Metas, objetivos e plano de ação 2026.xlsx]Acompanhamento!Tabela dinâmica2</c:name>
    <c:fmtId val="8"/>
  </c:pivotSource>
  <c:chart>
    <c:autoTitleDeleted val="1"/>
    <c:plotArea>
      <c:layout/>
      <c:barChart>
        <c:barDir val="col"/>
        <c:grouping val="percentStacked"/>
        <c:varyColors val="0"/>
        <c:ser>
          <c:idx val="0"/>
          <c:order val="0"/>
          <c:tx>
            <c:strRef>
              <c:f>Acompanhamento!$N$31:$N$32</c:f>
              <c:strCache>
                <c:ptCount val="1"/>
                <c:pt idx="0">
                  <c:v>EM ANDAMENTO</c:v>
                </c:pt>
              </c:strCache>
            </c:strRef>
          </c:tx>
          <c:spPr>
            <a:solidFill>
              <a:schemeClr val="bg1">
                <a:lumMod val="75000"/>
              </a:schemeClr>
            </a:solidFill>
            <a:ln>
              <a:noFill/>
            </a:ln>
            <a:effectLst/>
          </c:spPr>
          <c:invertIfNegative val="0"/>
          <c:dLbls>
            <c:delete val="1"/>
          </c:dLbls>
          <c:cat>
            <c:multiLvlStrRef>
              <c:f>Acompanhamento!$M$33:$M$108</c:f>
              <c:multiLvlStrCache>
                <c:ptCount val="52"/>
                <c:lvl>
                  <c:pt idx="0">
                    <c:v>Financeiro</c:v>
                  </c:pt>
                  <c:pt idx="1">
                    <c:v>Pessoal</c:v>
                  </c:pt>
                  <c:pt idx="2">
                    <c:v>Profissional</c:v>
                  </c:pt>
                  <c:pt idx="3">
                    <c:v>Financeiro</c:v>
                  </c:pt>
                  <c:pt idx="4">
                    <c:v>Pessoal</c:v>
                  </c:pt>
                  <c:pt idx="5">
                    <c:v>Profissional</c:v>
                  </c:pt>
                  <c:pt idx="6">
                    <c:v>Contribuição</c:v>
                  </c:pt>
                  <c:pt idx="7">
                    <c:v>Financeiro</c:v>
                  </c:pt>
                  <c:pt idx="8">
                    <c:v>Pessoal</c:v>
                  </c:pt>
                  <c:pt idx="9">
                    <c:v>Profissional</c:v>
                  </c:pt>
                  <c:pt idx="10">
                    <c:v>Contribuição</c:v>
                  </c:pt>
                  <c:pt idx="11">
                    <c:v>Financeiro</c:v>
                  </c:pt>
                  <c:pt idx="12">
                    <c:v>Pessoal</c:v>
                  </c:pt>
                  <c:pt idx="13">
                    <c:v>Profissional</c:v>
                  </c:pt>
                  <c:pt idx="14">
                    <c:v>Financeiro</c:v>
                  </c:pt>
                  <c:pt idx="15">
                    <c:v>Pessoal</c:v>
                  </c:pt>
                  <c:pt idx="16">
                    <c:v>Profissional</c:v>
                  </c:pt>
                  <c:pt idx="17">
                    <c:v>Contribuição</c:v>
                  </c:pt>
                  <c:pt idx="18">
                    <c:v>Financeiro</c:v>
                  </c:pt>
                  <c:pt idx="19">
                    <c:v>Pessoal</c:v>
                  </c:pt>
                  <c:pt idx="20">
                    <c:v>Profissional</c:v>
                  </c:pt>
                  <c:pt idx="21">
                    <c:v>Financeiro</c:v>
                  </c:pt>
                  <c:pt idx="22">
                    <c:v>Pessoal</c:v>
                  </c:pt>
                  <c:pt idx="23">
                    <c:v>Profissional</c:v>
                  </c:pt>
                  <c:pt idx="24">
                    <c:v>Contribuição</c:v>
                  </c:pt>
                  <c:pt idx="25">
                    <c:v>Financeiro</c:v>
                  </c:pt>
                  <c:pt idx="26">
                    <c:v>Pessoal</c:v>
                  </c:pt>
                  <c:pt idx="27">
                    <c:v>Profissional</c:v>
                  </c:pt>
                  <c:pt idx="28">
                    <c:v>Financeiro</c:v>
                  </c:pt>
                  <c:pt idx="29">
                    <c:v>Pessoal</c:v>
                  </c:pt>
                  <c:pt idx="30">
                    <c:v>Profissional</c:v>
                  </c:pt>
                  <c:pt idx="31">
                    <c:v>Pessoal</c:v>
                  </c:pt>
                  <c:pt idx="32">
                    <c:v>Profissional</c:v>
                  </c:pt>
                  <c:pt idx="33">
                    <c:v>Financeiro</c:v>
                  </c:pt>
                  <c:pt idx="34">
                    <c:v>Pessoal</c:v>
                  </c:pt>
                  <c:pt idx="35">
                    <c:v>Profissional</c:v>
                  </c:pt>
                  <c:pt idx="36">
                    <c:v>Profissional</c:v>
                  </c:pt>
                  <c:pt idx="37">
                    <c:v>Financeiro</c:v>
                  </c:pt>
                  <c:pt idx="38">
                    <c:v>Pessoal</c:v>
                  </c:pt>
                  <c:pt idx="39">
                    <c:v>Profissional</c:v>
                  </c:pt>
                  <c:pt idx="40">
                    <c:v>Financeiro</c:v>
                  </c:pt>
                  <c:pt idx="41">
                    <c:v>Pessoal</c:v>
                  </c:pt>
                  <c:pt idx="42">
                    <c:v>Profissional</c:v>
                  </c:pt>
                  <c:pt idx="43">
                    <c:v>Contribuição</c:v>
                  </c:pt>
                  <c:pt idx="44">
                    <c:v>Pessoal</c:v>
                  </c:pt>
                  <c:pt idx="45">
                    <c:v>Profissional</c:v>
                  </c:pt>
                  <c:pt idx="46">
                    <c:v>Profissional</c:v>
                  </c:pt>
                  <c:pt idx="47">
                    <c:v>Financeiro</c:v>
                  </c:pt>
                  <c:pt idx="48">
                    <c:v>Pessoal</c:v>
                  </c:pt>
                  <c:pt idx="49">
                    <c:v>Profissional</c:v>
                  </c:pt>
                  <c:pt idx="50">
                    <c:v>Contribuição</c:v>
                  </c:pt>
                  <c:pt idx="51">
                    <c:v>Contribuição</c:v>
                  </c:pt>
                </c:lvl>
                <c:lvl>
                  <c:pt idx="0">
                    <c:v>jun</c:v>
                  </c:pt>
                  <c:pt idx="3">
                    <c:v>dez</c:v>
                  </c:pt>
                  <c:pt idx="7">
                    <c:v>fev</c:v>
                  </c:pt>
                  <c:pt idx="11">
                    <c:v>set</c:v>
                  </c:pt>
                  <c:pt idx="14">
                    <c:v>out</c:v>
                  </c:pt>
                  <c:pt idx="18">
                    <c:v>nov</c:v>
                  </c:pt>
                  <c:pt idx="21">
                    <c:v>dez</c:v>
                  </c:pt>
                  <c:pt idx="25">
                    <c:v>jan</c:v>
                  </c:pt>
                  <c:pt idx="28">
                    <c:v>fev</c:v>
                  </c:pt>
                  <c:pt idx="31">
                    <c:v>mar</c:v>
                  </c:pt>
                  <c:pt idx="33">
                    <c:v>jun</c:v>
                  </c:pt>
                  <c:pt idx="36">
                    <c:v>ago</c:v>
                  </c:pt>
                  <c:pt idx="37">
                    <c:v>set</c:v>
                  </c:pt>
                  <c:pt idx="40">
                    <c:v>dez</c:v>
                  </c:pt>
                  <c:pt idx="44">
                    <c:v>set</c:v>
                  </c:pt>
                  <c:pt idx="46">
                    <c:v>dez</c:v>
                  </c:pt>
                  <c:pt idx="47">
                    <c:v>set</c:v>
                  </c:pt>
                  <c:pt idx="51">
                    <c:v>dez</c:v>
                  </c:pt>
                </c:lvl>
                <c:lvl>
                  <c:pt idx="0">
                    <c:v>2022</c:v>
                  </c:pt>
                  <c:pt idx="7">
                    <c:v>2023</c:v>
                  </c:pt>
                  <c:pt idx="25">
                    <c:v>2024</c:v>
                  </c:pt>
                  <c:pt idx="44">
                    <c:v>2025</c:v>
                  </c:pt>
                  <c:pt idx="47">
                    <c:v>2026</c:v>
                  </c:pt>
                </c:lvl>
              </c:multiLvlStrCache>
            </c:multiLvlStrRef>
          </c:cat>
          <c:val>
            <c:numRef>
              <c:f>Acompanhamento!$N$33:$N$108</c:f>
              <c:numCache>
                <c:formatCode>0.00%</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pt idx="15">
                  <c:v>1</c:v>
                </c:pt>
                <c:pt idx="16">
                  <c:v>1</c:v>
                </c:pt>
                <c:pt idx="17">
                  <c:v>1</c:v>
                </c:pt>
                <c:pt idx="18">
                  <c:v>1</c:v>
                </c:pt>
                <c:pt idx="19">
                  <c:v>1</c:v>
                </c:pt>
                <c:pt idx="20">
                  <c:v>1</c:v>
                </c:pt>
                <c:pt idx="21">
                  <c:v>0.4</c:v>
                </c:pt>
                <c:pt idx="22">
                  <c:v>0.75</c:v>
                </c:pt>
                <c:pt idx="23">
                  <c:v>0.538461538461538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Cache>
            </c:numRef>
          </c:val>
        </c:ser>
        <c:ser>
          <c:idx val="1"/>
          <c:order val="1"/>
          <c:tx>
            <c:strRef>
              <c:f>Acompanhamento!$O$31:$O$32</c:f>
              <c:strCache>
                <c:ptCount val="1"/>
                <c:pt idx="0">
                  <c:v>CONCLUÍDO</c:v>
                </c:pt>
              </c:strCache>
            </c:strRef>
          </c:tx>
          <c:spPr>
            <a:solidFill>
              <a:srgbClr val="00B050"/>
            </a:solidFill>
            <a:ln>
              <a:noFill/>
            </a:ln>
            <a:effectLst/>
          </c:spPr>
          <c:invertIfNegative val="0"/>
          <c:dLbls>
            <c:delete val="1"/>
          </c:dLbls>
          <c:cat>
            <c:multiLvlStrRef>
              <c:f>Acompanhamento!$M$33:$M$108</c:f>
              <c:multiLvlStrCache>
                <c:ptCount val="52"/>
                <c:lvl>
                  <c:pt idx="0">
                    <c:v>Financeiro</c:v>
                  </c:pt>
                  <c:pt idx="1">
                    <c:v>Pessoal</c:v>
                  </c:pt>
                  <c:pt idx="2">
                    <c:v>Profissional</c:v>
                  </c:pt>
                  <c:pt idx="3">
                    <c:v>Financeiro</c:v>
                  </c:pt>
                  <c:pt idx="4">
                    <c:v>Pessoal</c:v>
                  </c:pt>
                  <c:pt idx="5">
                    <c:v>Profissional</c:v>
                  </c:pt>
                  <c:pt idx="6">
                    <c:v>Contribuição</c:v>
                  </c:pt>
                  <c:pt idx="7">
                    <c:v>Financeiro</c:v>
                  </c:pt>
                  <c:pt idx="8">
                    <c:v>Pessoal</c:v>
                  </c:pt>
                  <c:pt idx="9">
                    <c:v>Profissional</c:v>
                  </c:pt>
                  <c:pt idx="10">
                    <c:v>Contribuição</c:v>
                  </c:pt>
                  <c:pt idx="11">
                    <c:v>Financeiro</c:v>
                  </c:pt>
                  <c:pt idx="12">
                    <c:v>Pessoal</c:v>
                  </c:pt>
                  <c:pt idx="13">
                    <c:v>Profissional</c:v>
                  </c:pt>
                  <c:pt idx="14">
                    <c:v>Financeiro</c:v>
                  </c:pt>
                  <c:pt idx="15">
                    <c:v>Pessoal</c:v>
                  </c:pt>
                  <c:pt idx="16">
                    <c:v>Profissional</c:v>
                  </c:pt>
                  <c:pt idx="17">
                    <c:v>Contribuição</c:v>
                  </c:pt>
                  <c:pt idx="18">
                    <c:v>Financeiro</c:v>
                  </c:pt>
                  <c:pt idx="19">
                    <c:v>Pessoal</c:v>
                  </c:pt>
                  <c:pt idx="20">
                    <c:v>Profissional</c:v>
                  </c:pt>
                  <c:pt idx="21">
                    <c:v>Financeiro</c:v>
                  </c:pt>
                  <c:pt idx="22">
                    <c:v>Pessoal</c:v>
                  </c:pt>
                  <c:pt idx="23">
                    <c:v>Profissional</c:v>
                  </c:pt>
                  <c:pt idx="24">
                    <c:v>Contribuição</c:v>
                  </c:pt>
                  <c:pt idx="25">
                    <c:v>Financeiro</c:v>
                  </c:pt>
                  <c:pt idx="26">
                    <c:v>Pessoal</c:v>
                  </c:pt>
                  <c:pt idx="27">
                    <c:v>Profissional</c:v>
                  </c:pt>
                  <c:pt idx="28">
                    <c:v>Financeiro</c:v>
                  </c:pt>
                  <c:pt idx="29">
                    <c:v>Pessoal</c:v>
                  </c:pt>
                  <c:pt idx="30">
                    <c:v>Profissional</c:v>
                  </c:pt>
                  <c:pt idx="31">
                    <c:v>Pessoal</c:v>
                  </c:pt>
                  <c:pt idx="32">
                    <c:v>Profissional</c:v>
                  </c:pt>
                  <c:pt idx="33">
                    <c:v>Financeiro</c:v>
                  </c:pt>
                  <c:pt idx="34">
                    <c:v>Pessoal</c:v>
                  </c:pt>
                  <c:pt idx="35">
                    <c:v>Profissional</c:v>
                  </c:pt>
                  <c:pt idx="36">
                    <c:v>Profissional</c:v>
                  </c:pt>
                  <c:pt idx="37">
                    <c:v>Financeiro</c:v>
                  </c:pt>
                  <c:pt idx="38">
                    <c:v>Pessoal</c:v>
                  </c:pt>
                  <c:pt idx="39">
                    <c:v>Profissional</c:v>
                  </c:pt>
                  <c:pt idx="40">
                    <c:v>Financeiro</c:v>
                  </c:pt>
                  <c:pt idx="41">
                    <c:v>Pessoal</c:v>
                  </c:pt>
                  <c:pt idx="42">
                    <c:v>Profissional</c:v>
                  </c:pt>
                  <c:pt idx="43">
                    <c:v>Contribuição</c:v>
                  </c:pt>
                  <c:pt idx="44">
                    <c:v>Pessoal</c:v>
                  </c:pt>
                  <c:pt idx="45">
                    <c:v>Profissional</c:v>
                  </c:pt>
                  <c:pt idx="46">
                    <c:v>Profissional</c:v>
                  </c:pt>
                  <c:pt idx="47">
                    <c:v>Financeiro</c:v>
                  </c:pt>
                  <c:pt idx="48">
                    <c:v>Pessoal</c:v>
                  </c:pt>
                  <c:pt idx="49">
                    <c:v>Profissional</c:v>
                  </c:pt>
                  <c:pt idx="50">
                    <c:v>Contribuição</c:v>
                  </c:pt>
                  <c:pt idx="51">
                    <c:v>Contribuição</c:v>
                  </c:pt>
                </c:lvl>
                <c:lvl>
                  <c:pt idx="0">
                    <c:v>jun</c:v>
                  </c:pt>
                  <c:pt idx="3">
                    <c:v>dez</c:v>
                  </c:pt>
                  <c:pt idx="7">
                    <c:v>fev</c:v>
                  </c:pt>
                  <c:pt idx="11">
                    <c:v>set</c:v>
                  </c:pt>
                  <c:pt idx="14">
                    <c:v>out</c:v>
                  </c:pt>
                  <c:pt idx="18">
                    <c:v>nov</c:v>
                  </c:pt>
                  <c:pt idx="21">
                    <c:v>dez</c:v>
                  </c:pt>
                  <c:pt idx="25">
                    <c:v>jan</c:v>
                  </c:pt>
                  <c:pt idx="28">
                    <c:v>fev</c:v>
                  </c:pt>
                  <c:pt idx="31">
                    <c:v>mar</c:v>
                  </c:pt>
                  <c:pt idx="33">
                    <c:v>jun</c:v>
                  </c:pt>
                  <c:pt idx="36">
                    <c:v>ago</c:v>
                  </c:pt>
                  <c:pt idx="37">
                    <c:v>set</c:v>
                  </c:pt>
                  <c:pt idx="40">
                    <c:v>dez</c:v>
                  </c:pt>
                  <c:pt idx="44">
                    <c:v>set</c:v>
                  </c:pt>
                  <c:pt idx="46">
                    <c:v>dez</c:v>
                  </c:pt>
                  <c:pt idx="47">
                    <c:v>set</c:v>
                  </c:pt>
                  <c:pt idx="51">
                    <c:v>dez</c:v>
                  </c:pt>
                </c:lvl>
                <c:lvl>
                  <c:pt idx="0">
                    <c:v>2022</c:v>
                  </c:pt>
                  <c:pt idx="7">
                    <c:v>2023</c:v>
                  </c:pt>
                  <c:pt idx="25">
                    <c:v>2024</c:v>
                  </c:pt>
                  <c:pt idx="44">
                    <c:v>2025</c:v>
                  </c:pt>
                  <c:pt idx="47">
                    <c:v>2026</c:v>
                  </c:pt>
                </c:lvl>
              </c:multiLvlStrCache>
            </c:multiLvlStrRef>
          </c:cat>
          <c:val>
            <c:numRef>
              <c:f>Acompanhamento!$O$33:$O$108</c:f>
              <c:numCache>
                <c:formatCode>0.00%</c:formatCode>
                <c:ptCount val="52"/>
                <c:pt idx="0">
                  <c:v>0.666666666666667</c:v>
                </c:pt>
                <c:pt idx="1">
                  <c:v>0.0909090909090909</c:v>
                </c:pt>
                <c:pt idx="2">
                  <c:v>0</c:v>
                </c:pt>
                <c:pt idx="3">
                  <c:v>0.333333333333333</c:v>
                </c:pt>
                <c:pt idx="4">
                  <c:v>1</c:v>
                </c:pt>
                <c:pt idx="5">
                  <c:v>1</c:v>
                </c:pt>
                <c:pt idx="6">
                  <c:v>1</c:v>
                </c:pt>
                <c:pt idx="7">
                  <c:v>0.333333333333333</c:v>
                </c:pt>
                <c:pt idx="8">
                  <c:v>0.5</c:v>
                </c:pt>
                <c:pt idx="9">
                  <c:v>0.636363636363636</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2"/>
          <c:order val="2"/>
          <c:tx>
            <c:strRef>
              <c:f>Acompanhamento!$P$31:$P$32</c:f>
              <c:strCache>
                <c:ptCount val="1"/>
                <c:pt idx="0">
                  <c:v>PENDENTE</c:v>
                </c:pt>
              </c:strCache>
            </c:strRef>
          </c:tx>
          <c:spPr>
            <a:solidFill>
              <a:srgbClr val="FF0000"/>
            </a:solidFill>
            <a:ln>
              <a:noFill/>
            </a:ln>
            <a:effectLst/>
          </c:spPr>
          <c:invertIfNegative val="0"/>
          <c:dLbls>
            <c:delete val="1"/>
          </c:dLbls>
          <c:cat>
            <c:multiLvlStrRef>
              <c:f>Acompanhamento!$M$33:$M$108</c:f>
              <c:multiLvlStrCache>
                <c:ptCount val="52"/>
                <c:lvl>
                  <c:pt idx="0">
                    <c:v>Financeiro</c:v>
                  </c:pt>
                  <c:pt idx="1">
                    <c:v>Pessoal</c:v>
                  </c:pt>
                  <c:pt idx="2">
                    <c:v>Profissional</c:v>
                  </c:pt>
                  <c:pt idx="3">
                    <c:v>Financeiro</c:v>
                  </c:pt>
                  <c:pt idx="4">
                    <c:v>Pessoal</c:v>
                  </c:pt>
                  <c:pt idx="5">
                    <c:v>Profissional</c:v>
                  </c:pt>
                  <c:pt idx="6">
                    <c:v>Contribuição</c:v>
                  </c:pt>
                  <c:pt idx="7">
                    <c:v>Financeiro</c:v>
                  </c:pt>
                  <c:pt idx="8">
                    <c:v>Pessoal</c:v>
                  </c:pt>
                  <c:pt idx="9">
                    <c:v>Profissional</c:v>
                  </c:pt>
                  <c:pt idx="10">
                    <c:v>Contribuição</c:v>
                  </c:pt>
                  <c:pt idx="11">
                    <c:v>Financeiro</c:v>
                  </c:pt>
                  <c:pt idx="12">
                    <c:v>Pessoal</c:v>
                  </c:pt>
                  <c:pt idx="13">
                    <c:v>Profissional</c:v>
                  </c:pt>
                  <c:pt idx="14">
                    <c:v>Financeiro</c:v>
                  </c:pt>
                  <c:pt idx="15">
                    <c:v>Pessoal</c:v>
                  </c:pt>
                  <c:pt idx="16">
                    <c:v>Profissional</c:v>
                  </c:pt>
                  <c:pt idx="17">
                    <c:v>Contribuição</c:v>
                  </c:pt>
                  <c:pt idx="18">
                    <c:v>Financeiro</c:v>
                  </c:pt>
                  <c:pt idx="19">
                    <c:v>Pessoal</c:v>
                  </c:pt>
                  <c:pt idx="20">
                    <c:v>Profissional</c:v>
                  </c:pt>
                  <c:pt idx="21">
                    <c:v>Financeiro</c:v>
                  </c:pt>
                  <c:pt idx="22">
                    <c:v>Pessoal</c:v>
                  </c:pt>
                  <c:pt idx="23">
                    <c:v>Profissional</c:v>
                  </c:pt>
                  <c:pt idx="24">
                    <c:v>Contribuição</c:v>
                  </c:pt>
                  <c:pt idx="25">
                    <c:v>Financeiro</c:v>
                  </c:pt>
                  <c:pt idx="26">
                    <c:v>Pessoal</c:v>
                  </c:pt>
                  <c:pt idx="27">
                    <c:v>Profissional</c:v>
                  </c:pt>
                  <c:pt idx="28">
                    <c:v>Financeiro</c:v>
                  </c:pt>
                  <c:pt idx="29">
                    <c:v>Pessoal</c:v>
                  </c:pt>
                  <c:pt idx="30">
                    <c:v>Profissional</c:v>
                  </c:pt>
                  <c:pt idx="31">
                    <c:v>Pessoal</c:v>
                  </c:pt>
                  <c:pt idx="32">
                    <c:v>Profissional</c:v>
                  </c:pt>
                  <c:pt idx="33">
                    <c:v>Financeiro</c:v>
                  </c:pt>
                  <c:pt idx="34">
                    <c:v>Pessoal</c:v>
                  </c:pt>
                  <c:pt idx="35">
                    <c:v>Profissional</c:v>
                  </c:pt>
                  <c:pt idx="36">
                    <c:v>Profissional</c:v>
                  </c:pt>
                  <c:pt idx="37">
                    <c:v>Financeiro</c:v>
                  </c:pt>
                  <c:pt idx="38">
                    <c:v>Pessoal</c:v>
                  </c:pt>
                  <c:pt idx="39">
                    <c:v>Profissional</c:v>
                  </c:pt>
                  <c:pt idx="40">
                    <c:v>Financeiro</c:v>
                  </c:pt>
                  <c:pt idx="41">
                    <c:v>Pessoal</c:v>
                  </c:pt>
                  <c:pt idx="42">
                    <c:v>Profissional</c:v>
                  </c:pt>
                  <c:pt idx="43">
                    <c:v>Contribuição</c:v>
                  </c:pt>
                  <c:pt idx="44">
                    <c:v>Pessoal</c:v>
                  </c:pt>
                  <c:pt idx="45">
                    <c:v>Profissional</c:v>
                  </c:pt>
                  <c:pt idx="46">
                    <c:v>Profissional</c:v>
                  </c:pt>
                  <c:pt idx="47">
                    <c:v>Financeiro</c:v>
                  </c:pt>
                  <c:pt idx="48">
                    <c:v>Pessoal</c:v>
                  </c:pt>
                  <c:pt idx="49">
                    <c:v>Profissional</c:v>
                  </c:pt>
                  <c:pt idx="50">
                    <c:v>Contribuição</c:v>
                  </c:pt>
                  <c:pt idx="51">
                    <c:v>Contribuição</c:v>
                  </c:pt>
                </c:lvl>
                <c:lvl>
                  <c:pt idx="0">
                    <c:v>jun</c:v>
                  </c:pt>
                  <c:pt idx="3">
                    <c:v>dez</c:v>
                  </c:pt>
                  <c:pt idx="7">
                    <c:v>fev</c:v>
                  </c:pt>
                  <c:pt idx="11">
                    <c:v>set</c:v>
                  </c:pt>
                  <c:pt idx="14">
                    <c:v>out</c:v>
                  </c:pt>
                  <c:pt idx="18">
                    <c:v>nov</c:v>
                  </c:pt>
                  <c:pt idx="21">
                    <c:v>dez</c:v>
                  </c:pt>
                  <c:pt idx="25">
                    <c:v>jan</c:v>
                  </c:pt>
                  <c:pt idx="28">
                    <c:v>fev</c:v>
                  </c:pt>
                  <c:pt idx="31">
                    <c:v>mar</c:v>
                  </c:pt>
                  <c:pt idx="33">
                    <c:v>jun</c:v>
                  </c:pt>
                  <c:pt idx="36">
                    <c:v>ago</c:v>
                  </c:pt>
                  <c:pt idx="37">
                    <c:v>set</c:v>
                  </c:pt>
                  <c:pt idx="40">
                    <c:v>dez</c:v>
                  </c:pt>
                  <c:pt idx="44">
                    <c:v>set</c:v>
                  </c:pt>
                  <c:pt idx="46">
                    <c:v>dez</c:v>
                  </c:pt>
                  <c:pt idx="47">
                    <c:v>set</c:v>
                  </c:pt>
                  <c:pt idx="51">
                    <c:v>dez</c:v>
                  </c:pt>
                </c:lvl>
                <c:lvl>
                  <c:pt idx="0">
                    <c:v>2022</c:v>
                  </c:pt>
                  <c:pt idx="7">
                    <c:v>2023</c:v>
                  </c:pt>
                  <c:pt idx="25">
                    <c:v>2024</c:v>
                  </c:pt>
                  <c:pt idx="44">
                    <c:v>2025</c:v>
                  </c:pt>
                  <c:pt idx="47">
                    <c:v>2026</c:v>
                  </c:pt>
                </c:lvl>
              </c:multiLvlStrCache>
            </c:multiLvlStrRef>
          </c:cat>
          <c:val>
            <c:numRef>
              <c:f>Acompanhamento!$P$33:$P$108</c:f>
              <c:numCache>
                <c:formatCode>0.00%</c:formatCode>
                <c:ptCount val="52"/>
                <c:pt idx="0">
                  <c:v>0.333333333333333</c:v>
                </c:pt>
                <c:pt idx="1">
                  <c:v>0.909090909090909</c:v>
                </c:pt>
                <c:pt idx="2">
                  <c:v>1</c:v>
                </c:pt>
                <c:pt idx="3">
                  <c:v>0.666666666666667</c:v>
                </c:pt>
                <c:pt idx="4">
                  <c:v>0</c:v>
                </c:pt>
                <c:pt idx="5">
                  <c:v>0</c:v>
                </c:pt>
                <c:pt idx="6">
                  <c:v>0</c:v>
                </c:pt>
                <c:pt idx="7">
                  <c:v>0.333333333333333</c:v>
                </c:pt>
                <c:pt idx="8">
                  <c:v>0.5</c:v>
                </c:pt>
                <c:pt idx="9">
                  <c:v>0.272727272727273</c:v>
                </c:pt>
                <c:pt idx="10">
                  <c:v>0</c:v>
                </c:pt>
                <c:pt idx="11">
                  <c:v>1</c:v>
                </c:pt>
                <c:pt idx="12">
                  <c:v>0.666666666666667</c:v>
                </c:pt>
                <c:pt idx="13">
                  <c:v>1</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3"/>
          <c:order val="3"/>
          <c:tx>
            <c:strRef>
              <c:f>Acompanhamento!$Q$31:$Q$32</c:f>
              <c:strCache>
                <c:ptCount val="1"/>
                <c:pt idx="0">
                  <c:v>CANCELADO</c:v>
                </c:pt>
              </c:strCache>
            </c:strRef>
          </c:tx>
          <c:spPr>
            <a:solidFill>
              <a:schemeClr val="accent4"/>
            </a:solidFill>
            <a:ln>
              <a:noFill/>
            </a:ln>
            <a:effectLst/>
          </c:spPr>
          <c:invertIfNegative val="0"/>
          <c:dLbls>
            <c:delete val="1"/>
          </c:dLbls>
          <c:cat>
            <c:multiLvlStrRef>
              <c:f>Acompanhamento!$M$33:$M$108</c:f>
              <c:multiLvlStrCache>
                <c:ptCount val="52"/>
                <c:lvl>
                  <c:pt idx="0">
                    <c:v>Financeiro</c:v>
                  </c:pt>
                  <c:pt idx="1">
                    <c:v>Pessoal</c:v>
                  </c:pt>
                  <c:pt idx="2">
                    <c:v>Profissional</c:v>
                  </c:pt>
                  <c:pt idx="3">
                    <c:v>Financeiro</c:v>
                  </c:pt>
                  <c:pt idx="4">
                    <c:v>Pessoal</c:v>
                  </c:pt>
                  <c:pt idx="5">
                    <c:v>Profissional</c:v>
                  </c:pt>
                  <c:pt idx="6">
                    <c:v>Contribuição</c:v>
                  </c:pt>
                  <c:pt idx="7">
                    <c:v>Financeiro</c:v>
                  </c:pt>
                  <c:pt idx="8">
                    <c:v>Pessoal</c:v>
                  </c:pt>
                  <c:pt idx="9">
                    <c:v>Profissional</c:v>
                  </c:pt>
                  <c:pt idx="10">
                    <c:v>Contribuição</c:v>
                  </c:pt>
                  <c:pt idx="11">
                    <c:v>Financeiro</c:v>
                  </c:pt>
                  <c:pt idx="12">
                    <c:v>Pessoal</c:v>
                  </c:pt>
                  <c:pt idx="13">
                    <c:v>Profissional</c:v>
                  </c:pt>
                  <c:pt idx="14">
                    <c:v>Financeiro</c:v>
                  </c:pt>
                  <c:pt idx="15">
                    <c:v>Pessoal</c:v>
                  </c:pt>
                  <c:pt idx="16">
                    <c:v>Profissional</c:v>
                  </c:pt>
                  <c:pt idx="17">
                    <c:v>Contribuição</c:v>
                  </c:pt>
                  <c:pt idx="18">
                    <c:v>Financeiro</c:v>
                  </c:pt>
                  <c:pt idx="19">
                    <c:v>Pessoal</c:v>
                  </c:pt>
                  <c:pt idx="20">
                    <c:v>Profissional</c:v>
                  </c:pt>
                  <c:pt idx="21">
                    <c:v>Financeiro</c:v>
                  </c:pt>
                  <c:pt idx="22">
                    <c:v>Pessoal</c:v>
                  </c:pt>
                  <c:pt idx="23">
                    <c:v>Profissional</c:v>
                  </c:pt>
                  <c:pt idx="24">
                    <c:v>Contribuição</c:v>
                  </c:pt>
                  <c:pt idx="25">
                    <c:v>Financeiro</c:v>
                  </c:pt>
                  <c:pt idx="26">
                    <c:v>Pessoal</c:v>
                  </c:pt>
                  <c:pt idx="27">
                    <c:v>Profissional</c:v>
                  </c:pt>
                  <c:pt idx="28">
                    <c:v>Financeiro</c:v>
                  </c:pt>
                  <c:pt idx="29">
                    <c:v>Pessoal</c:v>
                  </c:pt>
                  <c:pt idx="30">
                    <c:v>Profissional</c:v>
                  </c:pt>
                  <c:pt idx="31">
                    <c:v>Pessoal</c:v>
                  </c:pt>
                  <c:pt idx="32">
                    <c:v>Profissional</c:v>
                  </c:pt>
                  <c:pt idx="33">
                    <c:v>Financeiro</c:v>
                  </c:pt>
                  <c:pt idx="34">
                    <c:v>Pessoal</c:v>
                  </c:pt>
                  <c:pt idx="35">
                    <c:v>Profissional</c:v>
                  </c:pt>
                  <c:pt idx="36">
                    <c:v>Profissional</c:v>
                  </c:pt>
                  <c:pt idx="37">
                    <c:v>Financeiro</c:v>
                  </c:pt>
                  <c:pt idx="38">
                    <c:v>Pessoal</c:v>
                  </c:pt>
                  <c:pt idx="39">
                    <c:v>Profissional</c:v>
                  </c:pt>
                  <c:pt idx="40">
                    <c:v>Financeiro</c:v>
                  </c:pt>
                  <c:pt idx="41">
                    <c:v>Pessoal</c:v>
                  </c:pt>
                  <c:pt idx="42">
                    <c:v>Profissional</c:v>
                  </c:pt>
                  <c:pt idx="43">
                    <c:v>Contribuição</c:v>
                  </c:pt>
                  <c:pt idx="44">
                    <c:v>Pessoal</c:v>
                  </c:pt>
                  <c:pt idx="45">
                    <c:v>Profissional</c:v>
                  </c:pt>
                  <c:pt idx="46">
                    <c:v>Profissional</c:v>
                  </c:pt>
                  <c:pt idx="47">
                    <c:v>Financeiro</c:v>
                  </c:pt>
                  <c:pt idx="48">
                    <c:v>Pessoal</c:v>
                  </c:pt>
                  <c:pt idx="49">
                    <c:v>Profissional</c:v>
                  </c:pt>
                  <c:pt idx="50">
                    <c:v>Contribuição</c:v>
                  </c:pt>
                  <c:pt idx="51">
                    <c:v>Contribuição</c:v>
                  </c:pt>
                </c:lvl>
                <c:lvl>
                  <c:pt idx="0">
                    <c:v>jun</c:v>
                  </c:pt>
                  <c:pt idx="3">
                    <c:v>dez</c:v>
                  </c:pt>
                  <c:pt idx="7">
                    <c:v>fev</c:v>
                  </c:pt>
                  <c:pt idx="11">
                    <c:v>set</c:v>
                  </c:pt>
                  <c:pt idx="14">
                    <c:v>out</c:v>
                  </c:pt>
                  <c:pt idx="18">
                    <c:v>nov</c:v>
                  </c:pt>
                  <c:pt idx="21">
                    <c:v>dez</c:v>
                  </c:pt>
                  <c:pt idx="25">
                    <c:v>jan</c:v>
                  </c:pt>
                  <c:pt idx="28">
                    <c:v>fev</c:v>
                  </c:pt>
                  <c:pt idx="31">
                    <c:v>mar</c:v>
                  </c:pt>
                  <c:pt idx="33">
                    <c:v>jun</c:v>
                  </c:pt>
                  <c:pt idx="36">
                    <c:v>ago</c:v>
                  </c:pt>
                  <c:pt idx="37">
                    <c:v>set</c:v>
                  </c:pt>
                  <c:pt idx="40">
                    <c:v>dez</c:v>
                  </c:pt>
                  <c:pt idx="44">
                    <c:v>set</c:v>
                  </c:pt>
                  <c:pt idx="46">
                    <c:v>dez</c:v>
                  </c:pt>
                  <c:pt idx="47">
                    <c:v>set</c:v>
                  </c:pt>
                  <c:pt idx="51">
                    <c:v>dez</c:v>
                  </c:pt>
                </c:lvl>
                <c:lvl>
                  <c:pt idx="0">
                    <c:v>2022</c:v>
                  </c:pt>
                  <c:pt idx="7">
                    <c:v>2023</c:v>
                  </c:pt>
                  <c:pt idx="25">
                    <c:v>2024</c:v>
                  </c:pt>
                  <c:pt idx="44">
                    <c:v>2025</c:v>
                  </c:pt>
                  <c:pt idx="47">
                    <c:v>2026</c:v>
                  </c:pt>
                </c:lvl>
              </c:multiLvlStrCache>
            </c:multiLvlStrRef>
          </c:cat>
          <c:val>
            <c:numRef>
              <c:f>Acompanhamento!$Q$33:$Q$108</c:f>
              <c:numCache>
                <c:formatCode>0.00%</c:formatCode>
                <c:ptCount val="52"/>
                <c:pt idx="0">
                  <c:v>0</c:v>
                </c:pt>
                <c:pt idx="1">
                  <c:v>0</c:v>
                </c:pt>
                <c:pt idx="2">
                  <c:v>0</c:v>
                </c:pt>
                <c:pt idx="3">
                  <c:v>0</c:v>
                </c:pt>
                <c:pt idx="4">
                  <c:v>0</c:v>
                </c:pt>
                <c:pt idx="5">
                  <c:v>0</c:v>
                </c:pt>
                <c:pt idx="6">
                  <c:v>0</c:v>
                </c:pt>
                <c:pt idx="7">
                  <c:v>0.333333333333333</c:v>
                </c:pt>
                <c:pt idx="8">
                  <c:v>0</c:v>
                </c:pt>
                <c:pt idx="9">
                  <c:v>0.0909090909090909</c:v>
                </c:pt>
                <c:pt idx="10">
                  <c:v>0</c:v>
                </c:pt>
                <c:pt idx="11">
                  <c:v>0</c:v>
                </c:pt>
                <c:pt idx="12">
                  <c:v>0.333333333333333</c:v>
                </c:pt>
                <c:pt idx="13">
                  <c:v>0</c:v>
                </c:pt>
                <c:pt idx="14">
                  <c:v>0</c:v>
                </c:pt>
                <c:pt idx="15">
                  <c:v>0</c:v>
                </c:pt>
                <c:pt idx="16">
                  <c:v>0</c:v>
                </c:pt>
                <c:pt idx="17">
                  <c:v>0</c:v>
                </c:pt>
                <c:pt idx="18">
                  <c:v>0</c:v>
                </c:pt>
                <c:pt idx="19">
                  <c:v>0</c:v>
                </c:pt>
                <c:pt idx="20">
                  <c:v>0</c:v>
                </c:pt>
                <c:pt idx="21">
                  <c:v>0.6</c:v>
                </c:pt>
                <c:pt idx="22">
                  <c:v>0.25</c:v>
                </c:pt>
                <c:pt idx="23">
                  <c:v>0.461538461538462</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dLbls>
          <c:showLegendKey val="0"/>
          <c:showVal val="0"/>
          <c:showCatName val="0"/>
          <c:showSerName val="0"/>
          <c:showPercent val="0"/>
          <c:showBubbleSize val="0"/>
        </c:dLbls>
        <c:gapWidth val="219"/>
        <c:overlap val="100"/>
        <c:axId val="1772949600"/>
        <c:axId val="1772952512"/>
      </c:barChart>
      <c:catAx>
        <c:axId val="177294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900" b="0" i="0" u="none" strike="noStrike" kern="1200" baseline="0">
                <a:solidFill>
                  <a:schemeClr val="tx1">
                    <a:lumMod val="65000"/>
                    <a:lumOff val="35000"/>
                  </a:schemeClr>
                </a:solidFill>
                <a:latin typeface="+mn-lt"/>
                <a:ea typeface="+mn-ea"/>
                <a:cs typeface="+mn-cs"/>
              </a:defRPr>
            </a:pPr>
          </a:p>
        </c:txPr>
        <c:crossAx val="1772952512"/>
        <c:crosses val="autoZero"/>
        <c:auto val="1"/>
        <c:lblAlgn val="ctr"/>
        <c:lblOffset val="100"/>
        <c:noMultiLvlLbl val="0"/>
      </c:catAx>
      <c:valAx>
        <c:axId val="1772952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solidFill>
                  <a:schemeClr val="tx1">
                    <a:lumMod val="65000"/>
                    <a:lumOff val="35000"/>
                  </a:schemeClr>
                </a:solidFill>
                <a:latin typeface="+mn-lt"/>
                <a:ea typeface="+mn-ea"/>
                <a:cs typeface="+mn-cs"/>
              </a:defRPr>
            </a:pPr>
          </a:p>
        </c:txPr>
        <c:crossAx val="1772949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pt-BR"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7c987d3-1288-4bec-81cc-e98b030421ce}"/>
      </c:ext>
    </c:extLst>
  </c:chart>
  <c:spPr>
    <a:solidFill>
      <a:schemeClr val="bg1"/>
    </a:solidFill>
    <a:ln w="9525" cap="flat" cmpd="sng" algn="ctr">
      <a:solidFill>
        <a:schemeClr val="tx1">
          <a:lumMod val="15000"/>
          <a:lumOff val="85000"/>
        </a:schemeClr>
      </a:solidFill>
      <a:round/>
    </a:ln>
    <a:effectLst/>
  </c:spPr>
  <c:txPr>
    <a:bodyPr/>
    <a:lstStyle/>
    <a:p>
      <a:pPr>
        <a:defRPr lang="pt-BR"/>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[Metas, objetivos e plano de ação 2026.xlsx]Acompanhamento!Tabela dinâmica4</c:name>
    <c:fmtId val="9"/>
  </c:pivotSource>
  <c:chart>
    <c:autoTitleDeleted val="1"/>
    <c:plotArea>
      <c:layout/>
      <c:barChart>
        <c:barDir val="col"/>
        <c:grouping val="percentStacked"/>
        <c:varyColors val="0"/>
        <c:ser>
          <c:idx val="0"/>
          <c:order val="0"/>
          <c:tx>
            <c:strRef>
              <c:f>Acompanhamento!$AK$31:$AK$32</c:f>
              <c:strCache>
                <c:ptCount val="1"/>
                <c:pt idx="0">
                  <c:v>EM ANDAMENTO</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Acompanhamento!$AJ$33:$AJ$56</c:f>
              <c:multiLvlStrCache>
                <c:ptCount val="18"/>
                <c:lvl>
                  <c:pt idx="0">
                    <c:v>Financeiro</c:v>
                  </c:pt>
                  <c:pt idx="1">
                    <c:v>Pessoal</c:v>
                  </c:pt>
                  <c:pt idx="2">
                    <c:v>Profissional</c:v>
                  </c:pt>
                  <c:pt idx="3">
                    <c:v>Contribuição</c:v>
                  </c:pt>
                  <c:pt idx="4">
                    <c:v>Financeiro</c:v>
                  </c:pt>
                  <c:pt idx="5">
                    <c:v>Pessoal</c:v>
                  </c:pt>
                  <c:pt idx="6">
                    <c:v>Profissional</c:v>
                  </c:pt>
                  <c:pt idx="7">
                    <c:v>Contribuição</c:v>
                  </c:pt>
                  <c:pt idx="8">
                    <c:v>Financeiro</c:v>
                  </c:pt>
                  <c:pt idx="9">
                    <c:v>Pessoal</c:v>
                  </c:pt>
                  <c:pt idx="10">
                    <c:v>Profissional</c:v>
                  </c:pt>
                  <c:pt idx="11">
                    <c:v>Contribuição</c:v>
                  </c:pt>
                  <c:pt idx="12">
                    <c:v>Pessoal</c:v>
                  </c:pt>
                  <c:pt idx="13">
                    <c:v>Profissional</c:v>
                  </c:pt>
                  <c:pt idx="14">
                    <c:v>Financeiro</c:v>
                  </c:pt>
                  <c:pt idx="15">
                    <c:v>Pessoal</c:v>
                  </c:pt>
                  <c:pt idx="16">
                    <c:v>Profissional</c:v>
                  </c:pt>
                  <c:pt idx="17">
                    <c:v>Contribuição</c:v>
                  </c:pt>
                </c:lvl>
                <c:lvl>
                  <c:pt idx="0">
                    <c:v>2022</c:v>
                  </c:pt>
                  <c:pt idx="4">
                    <c:v>2023</c:v>
                  </c:pt>
                  <c:pt idx="8">
                    <c:v>2024</c:v>
                  </c:pt>
                  <c:pt idx="12">
                    <c:v>2025</c:v>
                  </c:pt>
                  <c:pt idx="14">
                    <c:v>2026</c:v>
                  </c:pt>
                </c:lvl>
              </c:multiLvlStrCache>
            </c:multiLvlStrRef>
          </c:cat>
          <c:val>
            <c:numRef>
              <c:f>Acompanhamento!$AK$33:$AK$56</c:f>
              <c:numCache>
                <c:formatCode>0%</c:formatCode>
                <c:ptCount val="18"/>
                <c:pt idx="0">
                  <c:v>0</c:v>
                </c:pt>
                <c:pt idx="1">
                  <c:v>0</c:v>
                </c:pt>
                <c:pt idx="2">
                  <c:v>0</c:v>
                </c:pt>
                <c:pt idx="3">
                  <c:v>0</c:v>
                </c:pt>
                <c:pt idx="4">
                  <c:v>0.5625</c:v>
                </c:pt>
                <c:pt idx="5">
                  <c:v>0.545454545454545</c:v>
                </c:pt>
                <c:pt idx="6">
                  <c:v>0.450980392156863</c:v>
                </c:pt>
                <c:pt idx="7">
                  <c:v>0.75</c:v>
                </c:pt>
                <c:pt idx="8">
                  <c:v>1</c:v>
                </c:pt>
                <c:pt idx="9">
                  <c:v>1</c:v>
                </c:pt>
                <c:pt idx="10">
                  <c:v>1</c:v>
                </c:pt>
                <c:pt idx="11">
                  <c:v>1</c:v>
                </c:pt>
                <c:pt idx="12">
                  <c:v>1</c:v>
                </c:pt>
                <c:pt idx="13">
                  <c:v>1</c:v>
                </c:pt>
                <c:pt idx="14">
                  <c:v>1</c:v>
                </c:pt>
                <c:pt idx="15">
                  <c:v>1</c:v>
                </c:pt>
                <c:pt idx="16">
                  <c:v>1</c:v>
                </c:pt>
                <c:pt idx="17">
                  <c:v>1</c:v>
                </c:pt>
              </c:numCache>
            </c:numRef>
          </c:val>
        </c:ser>
        <c:ser>
          <c:idx val="1"/>
          <c:order val="1"/>
          <c:tx>
            <c:strRef>
              <c:f>Acompanhamento!$AL$31:$AL$32</c:f>
              <c:strCache>
                <c:ptCount val="1"/>
                <c:pt idx="0">
                  <c:v>CONCLUÍDO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Acompanhamento!$AJ$33:$AJ$56</c:f>
              <c:multiLvlStrCache>
                <c:ptCount val="18"/>
                <c:lvl>
                  <c:pt idx="0">
                    <c:v>Financeiro</c:v>
                  </c:pt>
                  <c:pt idx="1">
                    <c:v>Pessoal</c:v>
                  </c:pt>
                  <c:pt idx="2">
                    <c:v>Profissional</c:v>
                  </c:pt>
                  <c:pt idx="3">
                    <c:v>Contribuição</c:v>
                  </c:pt>
                  <c:pt idx="4">
                    <c:v>Financeiro</c:v>
                  </c:pt>
                  <c:pt idx="5">
                    <c:v>Pessoal</c:v>
                  </c:pt>
                  <c:pt idx="6">
                    <c:v>Profissional</c:v>
                  </c:pt>
                  <c:pt idx="7">
                    <c:v>Contribuição</c:v>
                  </c:pt>
                  <c:pt idx="8">
                    <c:v>Financeiro</c:v>
                  </c:pt>
                  <c:pt idx="9">
                    <c:v>Pessoal</c:v>
                  </c:pt>
                  <c:pt idx="10">
                    <c:v>Profissional</c:v>
                  </c:pt>
                  <c:pt idx="11">
                    <c:v>Contribuição</c:v>
                  </c:pt>
                  <c:pt idx="12">
                    <c:v>Pessoal</c:v>
                  </c:pt>
                  <c:pt idx="13">
                    <c:v>Profissional</c:v>
                  </c:pt>
                  <c:pt idx="14">
                    <c:v>Financeiro</c:v>
                  </c:pt>
                  <c:pt idx="15">
                    <c:v>Pessoal</c:v>
                  </c:pt>
                  <c:pt idx="16">
                    <c:v>Profissional</c:v>
                  </c:pt>
                  <c:pt idx="17">
                    <c:v>Contribuição</c:v>
                  </c:pt>
                </c:lvl>
                <c:lvl>
                  <c:pt idx="0">
                    <c:v>2022</c:v>
                  </c:pt>
                  <c:pt idx="4">
                    <c:v>2023</c:v>
                  </c:pt>
                  <c:pt idx="8">
                    <c:v>2024</c:v>
                  </c:pt>
                  <c:pt idx="12">
                    <c:v>2025</c:v>
                  </c:pt>
                  <c:pt idx="14">
                    <c:v>2026</c:v>
                  </c:pt>
                </c:lvl>
              </c:multiLvlStrCache>
            </c:multiLvlStrRef>
          </c:cat>
          <c:val>
            <c:numRef>
              <c:f>Acompanhamento!$AL$33:$AL$56</c:f>
              <c:numCache>
                <c:formatCode>0%</c:formatCode>
                <c:ptCount val="18"/>
                <c:pt idx="0">
                  <c:v>0.583333333333333</c:v>
                </c:pt>
                <c:pt idx="1">
                  <c:v>0.166666666666667</c:v>
                </c:pt>
                <c:pt idx="2">
                  <c:v>0.111111111111111</c:v>
                </c:pt>
                <c:pt idx="3">
                  <c:v>1</c:v>
                </c:pt>
                <c:pt idx="4">
                  <c:v>0.0625</c:v>
                </c:pt>
                <c:pt idx="5">
                  <c:v>0.151515151515152</c:v>
                </c:pt>
                <c:pt idx="6">
                  <c:v>0.137254901960784</c:v>
                </c:pt>
                <c:pt idx="7">
                  <c:v>0.25</c:v>
                </c:pt>
                <c:pt idx="8">
                  <c:v>0</c:v>
                </c:pt>
                <c:pt idx="9">
                  <c:v>0</c:v>
                </c:pt>
                <c:pt idx="10">
                  <c:v>0</c:v>
                </c:pt>
                <c:pt idx="11">
                  <c:v>0</c:v>
                </c:pt>
                <c:pt idx="12">
                  <c:v>0</c:v>
                </c:pt>
                <c:pt idx="13">
                  <c:v>0</c:v>
                </c:pt>
                <c:pt idx="14">
                  <c:v>0</c:v>
                </c:pt>
                <c:pt idx="15">
                  <c:v>0</c:v>
                </c:pt>
                <c:pt idx="16">
                  <c:v>0</c:v>
                </c:pt>
                <c:pt idx="17">
                  <c:v>0</c:v>
                </c:pt>
              </c:numCache>
            </c:numRef>
          </c:val>
        </c:ser>
        <c:ser>
          <c:idx val="2"/>
          <c:order val="2"/>
          <c:tx>
            <c:strRef>
              <c:f>Acompanhamento!$AM$31:$AM$32</c:f>
              <c:strCache>
                <c:ptCount val="1"/>
                <c:pt idx="0">
                  <c:v>PENDENTE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Acompanhamento!$AJ$33:$AJ$56</c:f>
              <c:multiLvlStrCache>
                <c:ptCount val="18"/>
                <c:lvl>
                  <c:pt idx="0">
                    <c:v>Financeiro</c:v>
                  </c:pt>
                  <c:pt idx="1">
                    <c:v>Pessoal</c:v>
                  </c:pt>
                  <c:pt idx="2">
                    <c:v>Profissional</c:v>
                  </c:pt>
                  <c:pt idx="3">
                    <c:v>Contribuição</c:v>
                  </c:pt>
                  <c:pt idx="4">
                    <c:v>Financeiro</c:v>
                  </c:pt>
                  <c:pt idx="5">
                    <c:v>Pessoal</c:v>
                  </c:pt>
                  <c:pt idx="6">
                    <c:v>Profissional</c:v>
                  </c:pt>
                  <c:pt idx="7">
                    <c:v>Contribuição</c:v>
                  </c:pt>
                  <c:pt idx="8">
                    <c:v>Financeiro</c:v>
                  </c:pt>
                  <c:pt idx="9">
                    <c:v>Pessoal</c:v>
                  </c:pt>
                  <c:pt idx="10">
                    <c:v>Profissional</c:v>
                  </c:pt>
                  <c:pt idx="11">
                    <c:v>Contribuição</c:v>
                  </c:pt>
                  <c:pt idx="12">
                    <c:v>Pessoal</c:v>
                  </c:pt>
                  <c:pt idx="13">
                    <c:v>Profissional</c:v>
                  </c:pt>
                  <c:pt idx="14">
                    <c:v>Financeiro</c:v>
                  </c:pt>
                  <c:pt idx="15">
                    <c:v>Pessoal</c:v>
                  </c:pt>
                  <c:pt idx="16">
                    <c:v>Profissional</c:v>
                  </c:pt>
                  <c:pt idx="17">
                    <c:v>Contribuição</c:v>
                  </c:pt>
                </c:lvl>
                <c:lvl>
                  <c:pt idx="0">
                    <c:v>2022</c:v>
                  </c:pt>
                  <c:pt idx="4">
                    <c:v>2023</c:v>
                  </c:pt>
                  <c:pt idx="8">
                    <c:v>2024</c:v>
                  </c:pt>
                  <c:pt idx="12">
                    <c:v>2025</c:v>
                  </c:pt>
                  <c:pt idx="14">
                    <c:v>2026</c:v>
                  </c:pt>
                </c:lvl>
              </c:multiLvlStrCache>
            </c:multiLvlStrRef>
          </c:cat>
          <c:val>
            <c:numRef>
              <c:f>Acompanhamento!$AM$33:$AM$56</c:f>
              <c:numCache>
                <c:formatCode>0%</c:formatCode>
                <c:ptCount val="18"/>
                <c:pt idx="0">
                  <c:v>0.416666666666667</c:v>
                </c:pt>
                <c:pt idx="1">
                  <c:v>0.833333333333333</c:v>
                </c:pt>
                <c:pt idx="2">
                  <c:v>0.888888888888889</c:v>
                </c:pt>
                <c:pt idx="3">
                  <c:v>0</c:v>
                </c:pt>
                <c:pt idx="4">
                  <c:v>0.125</c:v>
                </c:pt>
                <c:pt idx="5">
                  <c:v>0.212121212121212</c:v>
                </c:pt>
                <c:pt idx="6">
                  <c:v>0.274509803921569</c:v>
                </c:pt>
                <c:pt idx="7">
                  <c:v>0</c:v>
                </c:pt>
                <c:pt idx="8">
                  <c:v>0</c:v>
                </c:pt>
                <c:pt idx="9">
                  <c:v>0</c:v>
                </c:pt>
                <c:pt idx="10">
                  <c:v>0</c:v>
                </c:pt>
                <c:pt idx="11">
                  <c:v>0</c:v>
                </c:pt>
                <c:pt idx="12">
                  <c:v>0</c:v>
                </c:pt>
                <c:pt idx="13">
                  <c:v>0</c:v>
                </c:pt>
                <c:pt idx="14">
                  <c:v>0</c:v>
                </c:pt>
                <c:pt idx="15">
                  <c:v>0</c:v>
                </c:pt>
                <c:pt idx="16">
                  <c:v>0</c:v>
                </c:pt>
                <c:pt idx="17">
                  <c:v>0</c:v>
                </c:pt>
              </c:numCache>
            </c:numRef>
          </c:val>
        </c:ser>
        <c:ser>
          <c:idx val="3"/>
          <c:order val="3"/>
          <c:tx>
            <c:strRef>
              <c:f>Acompanhamento!$AN$31:$AN$32</c:f>
              <c:strCache>
                <c:ptCount val="1"/>
                <c:pt idx="0">
                  <c:v>CANCELADO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pt-BR"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Acompanhamento!$AJ$33:$AJ$56</c:f>
              <c:multiLvlStrCache>
                <c:ptCount val="18"/>
                <c:lvl>
                  <c:pt idx="0">
                    <c:v>Financeiro</c:v>
                  </c:pt>
                  <c:pt idx="1">
                    <c:v>Pessoal</c:v>
                  </c:pt>
                  <c:pt idx="2">
                    <c:v>Profissional</c:v>
                  </c:pt>
                  <c:pt idx="3">
                    <c:v>Contribuição</c:v>
                  </c:pt>
                  <c:pt idx="4">
                    <c:v>Financeiro</c:v>
                  </c:pt>
                  <c:pt idx="5">
                    <c:v>Pessoal</c:v>
                  </c:pt>
                  <c:pt idx="6">
                    <c:v>Profissional</c:v>
                  </c:pt>
                  <c:pt idx="7">
                    <c:v>Contribuição</c:v>
                  </c:pt>
                  <c:pt idx="8">
                    <c:v>Financeiro</c:v>
                  </c:pt>
                  <c:pt idx="9">
                    <c:v>Pessoal</c:v>
                  </c:pt>
                  <c:pt idx="10">
                    <c:v>Profissional</c:v>
                  </c:pt>
                  <c:pt idx="11">
                    <c:v>Contribuição</c:v>
                  </c:pt>
                  <c:pt idx="12">
                    <c:v>Pessoal</c:v>
                  </c:pt>
                  <c:pt idx="13">
                    <c:v>Profissional</c:v>
                  </c:pt>
                  <c:pt idx="14">
                    <c:v>Financeiro</c:v>
                  </c:pt>
                  <c:pt idx="15">
                    <c:v>Pessoal</c:v>
                  </c:pt>
                  <c:pt idx="16">
                    <c:v>Profissional</c:v>
                  </c:pt>
                  <c:pt idx="17">
                    <c:v>Contribuição</c:v>
                  </c:pt>
                </c:lvl>
                <c:lvl>
                  <c:pt idx="0">
                    <c:v>2022</c:v>
                  </c:pt>
                  <c:pt idx="4">
                    <c:v>2023</c:v>
                  </c:pt>
                  <c:pt idx="8">
                    <c:v>2024</c:v>
                  </c:pt>
                  <c:pt idx="12">
                    <c:v>2025</c:v>
                  </c:pt>
                  <c:pt idx="14">
                    <c:v>2026</c:v>
                  </c:pt>
                </c:lvl>
              </c:multiLvlStrCache>
            </c:multiLvlStrRef>
          </c:cat>
          <c:val>
            <c:numRef>
              <c:f>Acompanhamento!$AN$33:$AN$56</c:f>
              <c:numCache>
                <c:formatCode>0%</c:formatCode>
                <c:ptCount val="18"/>
                <c:pt idx="0">
                  <c:v>0</c:v>
                </c:pt>
                <c:pt idx="1">
                  <c:v>0</c:v>
                </c:pt>
                <c:pt idx="2">
                  <c:v>0</c:v>
                </c:pt>
                <c:pt idx="3">
                  <c:v>0</c:v>
                </c:pt>
                <c:pt idx="4">
                  <c:v>0.25</c:v>
                </c:pt>
                <c:pt idx="5">
                  <c:v>0.0909090909090909</c:v>
                </c:pt>
                <c:pt idx="6">
                  <c:v>0.137254901960784</c:v>
                </c:pt>
                <c:pt idx="7">
                  <c:v>0</c:v>
                </c:pt>
                <c:pt idx="8">
                  <c:v>0</c:v>
                </c:pt>
                <c:pt idx="9">
                  <c:v>0</c:v>
                </c:pt>
                <c:pt idx="10">
                  <c:v>0</c:v>
                </c:pt>
                <c:pt idx="11">
                  <c:v>0</c:v>
                </c:pt>
                <c:pt idx="12">
                  <c:v>0</c:v>
                </c:pt>
                <c:pt idx="13">
                  <c:v>0</c:v>
                </c:pt>
                <c:pt idx="14">
                  <c:v>0</c:v>
                </c:pt>
                <c:pt idx="15">
                  <c:v>0</c:v>
                </c:pt>
                <c:pt idx="16">
                  <c:v>0</c:v>
                </c:pt>
                <c:pt idx="17">
                  <c:v>0</c:v>
                </c:pt>
              </c:numCache>
            </c:numRef>
          </c:val>
        </c:ser>
        <c:dLbls>
          <c:showLegendKey val="0"/>
          <c:showVal val="1"/>
          <c:showCatName val="0"/>
          <c:showSerName val="0"/>
          <c:showPercent val="0"/>
          <c:showBubbleSize val="0"/>
        </c:dLbls>
        <c:gapWidth val="219"/>
        <c:overlap val="100"/>
        <c:axId val="1772951680"/>
        <c:axId val="1772962496"/>
      </c:barChart>
      <c:catAx>
        <c:axId val="177295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900" b="0" i="0" u="none" strike="noStrike" kern="1200" baseline="0">
                <a:solidFill>
                  <a:schemeClr val="tx1">
                    <a:lumMod val="65000"/>
                    <a:lumOff val="35000"/>
                  </a:schemeClr>
                </a:solidFill>
                <a:latin typeface="+mn-lt"/>
                <a:ea typeface="+mn-ea"/>
                <a:cs typeface="+mn-cs"/>
              </a:defRPr>
            </a:pPr>
          </a:p>
        </c:txPr>
        <c:crossAx val="1772962496"/>
        <c:crosses val="autoZero"/>
        <c:auto val="1"/>
        <c:lblAlgn val="ctr"/>
        <c:lblOffset val="100"/>
        <c:noMultiLvlLbl val="0"/>
      </c:catAx>
      <c:valAx>
        <c:axId val="1772962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solidFill>
                  <a:schemeClr val="tx1">
                    <a:lumMod val="65000"/>
                    <a:lumOff val="35000"/>
                  </a:schemeClr>
                </a:solidFill>
                <a:latin typeface="+mn-lt"/>
                <a:ea typeface="+mn-ea"/>
                <a:cs typeface="+mn-cs"/>
              </a:defRPr>
            </a:pPr>
          </a:p>
        </c:txPr>
        <c:crossAx val="1772951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pt-BR"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0d45835-c9df-442b-a52e-04079cba23d0}"/>
      </c:ext>
    </c:extLst>
  </c:chart>
  <c:spPr>
    <a:solidFill>
      <a:schemeClr val="bg1"/>
    </a:solidFill>
    <a:ln w="9525" cap="flat" cmpd="sng" algn="ctr">
      <a:solidFill>
        <a:schemeClr val="tx1">
          <a:lumMod val="15000"/>
          <a:lumOff val="85000"/>
        </a:schemeClr>
      </a:solidFill>
      <a:round/>
    </a:ln>
    <a:effectLst/>
  </c:spPr>
  <c:txPr>
    <a:bodyPr/>
    <a:lstStyle/>
    <a:p>
      <a:pPr>
        <a:defRPr lang="pt-BR"/>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771526</xdr:colOff>
      <xdr:row>0</xdr:row>
      <xdr:rowOff>9525</xdr:rowOff>
    </xdr:from>
    <xdr:to>
      <xdr:col>11</xdr:col>
      <xdr:colOff>504825</xdr:colOff>
      <xdr:row>25</xdr:row>
      <xdr:rowOff>95250</xdr:rowOff>
    </xdr:to>
    <xdr:graphicFrame>
      <xdr:nvGraphicFramePr>
        <xdr:cNvPr id="3" name="Gráfico 2"/>
        <xdr:cNvGraphicFramePr/>
      </xdr:nvGraphicFramePr>
      <xdr:xfrm>
        <a:off x="6391275" y="9525"/>
        <a:ext cx="6486525" cy="4848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28574</xdr:colOff>
      <xdr:row>0</xdr:row>
      <xdr:rowOff>9524</xdr:rowOff>
    </xdr:from>
    <xdr:to>
      <xdr:col>6</xdr:col>
      <xdr:colOff>714374</xdr:colOff>
      <xdr:row>25</xdr:row>
      <xdr:rowOff>123823</xdr:rowOff>
    </xdr:to>
    <xdr:graphicFrame>
      <xdr:nvGraphicFramePr>
        <xdr:cNvPr id="2" name="Gráfico 1"/>
        <xdr:cNvGraphicFramePr/>
      </xdr:nvGraphicFramePr>
      <xdr:xfrm>
        <a:off x="27940" y="8890"/>
        <a:ext cx="6305550" cy="4876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552449</xdr:colOff>
      <xdr:row>0</xdr:row>
      <xdr:rowOff>0</xdr:rowOff>
    </xdr:from>
    <xdr:to>
      <xdr:col>28</xdr:col>
      <xdr:colOff>47625</xdr:colOff>
      <xdr:row>25</xdr:row>
      <xdr:rowOff>85724</xdr:rowOff>
    </xdr:to>
    <xdr:graphicFrame>
      <xdr:nvGraphicFramePr>
        <xdr:cNvPr id="5" name="Gráfico 4"/>
        <xdr:cNvGraphicFramePr/>
      </xdr:nvGraphicFramePr>
      <xdr:xfrm>
        <a:off x="12924790" y="0"/>
        <a:ext cx="7830185" cy="48475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47624</xdr:colOff>
      <xdr:row>0</xdr:row>
      <xdr:rowOff>0</xdr:rowOff>
    </xdr:from>
    <xdr:to>
      <xdr:col>47</xdr:col>
      <xdr:colOff>104775</xdr:colOff>
      <xdr:row>25</xdr:row>
      <xdr:rowOff>100013</xdr:rowOff>
    </xdr:to>
    <xdr:graphicFrame>
      <xdr:nvGraphicFramePr>
        <xdr:cNvPr id="6" name="Gráfico 5"/>
        <xdr:cNvGraphicFramePr/>
      </xdr:nvGraphicFramePr>
      <xdr:xfrm>
        <a:off x="21354415" y="0"/>
        <a:ext cx="7677785" cy="486219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6" refreshedVersion="8" minRefreshableVersion="3" refreshedDate="45223.9000321759" refreshedBy="Autor" recordCount="212">
  <cacheSource type="worksheet">
    <worksheetSource name="Tabela1"/>
  </cacheSource>
  <cacheFields count="10">
    <cacheField name="STATUS" numFmtId="0">
      <sharedItems count="4">
        <s v="PENDENTE"/>
        <s v="CONCLUÍDO"/>
        <s v="CANCELADO"/>
        <s v="EM ANDAMENTO"/>
      </sharedItems>
    </cacheField>
    <cacheField name="ÁREA" numFmtId="0">
      <sharedItems count="4">
        <s v="Profissional"/>
        <s v="Pessoal"/>
        <s v="Financeiro"/>
        <s v="Contribuição"/>
      </sharedItems>
    </cacheField>
    <cacheField name="MACRO META - DESCRIÇÃO" numFmtId="0"/>
    <cacheField name="MICRO META - DESCRIÇÃO" numFmtId="0"/>
    <cacheField name="DATA" numFmtId="182">
      <sharedItems containsSemiMixedTypes="0" containsString="0" containsNonDate="0" containsDate="1" minDate="2022-06-01T00:00:00" maxDate="2026-12-30T00:00:00" count="28">
        <d v="2022-06-01T00:00:00"/>
        <d v="2022-12-01T00:00:00"/>
        <d v="2023-02-18T00:00:00"/>
        <d v="2023-02-28T00:00:00"/>
        <d v="2023-09-01T00:00:00"/>
        <d v="2023-10-18T00:00:00"/>
        <d v="2023-10-20T00:00:00"/>
        <d v="2023-10-30T00:00:00"/>
        <d v="2023-11-15T00:00:00"/>
        <d v="2023-11-22T00:00:00"/>
        <d v="2023-11-30T00:00:00"/>
        <d v="2023-12-01T00:00:00"/>
        <d v="2023-12-28T00:00:00"/>
        <d v="2023-12-30T00:00:00"/>
        <d v="2023-12-31T00:00:00"/>
        <d v="2024-01-28T00:00:00"/>
        <d v="2024-01-30T00:00:00"/>
        <d v="2024-02-28T00:00:00"/>
        <d v="2024-03-28T00:00:00"/>
        <d v="2024-03-30T00:00:00"/>
        <d v="2024-06-30T00:00:00"/>
        <d v="2024-08-30T00:00:00"/>
        <d v="2024-09-30T00:00:00"/>
        <d v="2024-12-30T00:00:00"/>
        <d v="2025-09-30T00:00:00"/>
        <d v="2025-12-30T00:00:00"/>
        <d v="2026-09-30T00:00:00"/>
        <d v="2026-12-30T00:00:00"/>
      </sharedItems>
      <fieldGroup base="4">
        <rangePr groupBy="months" startDate="2022-06-01T00:00:00" endDate="2026-12-31T00:00:00" groupInterval="1"/>
        <groupItems count="14">
          <s v="&lt;01/06/2022"/>
          <s v="jan"/>
          <s v="fev"/>
          <s v="mar"/>
          <s v="abr"/>
          <s v="mai"/>
          <s v="jun"/>
          <s v="jul"/>
          <s v="ago"/>
          <s v="set"/>
          <s v="out"/>
          <s v="nov"/>
          <s v="dez"/>
          <s v="&gt;31/12/2026"/>
        </groupItems>
      </fieldGroup>
    </cacheField>
    <cacheField name="PRAZO" numFmtId="0">
      <sharedItems count="9">
        <s v="Semana 1"/>
        <s v="Mensal"/>
        <s v="Curto"/>
        <s v="Semana 3"/>
        <s v="Semana 4"/>
        <s v="Semana 2"/>
        <s v="Médio"/>
        <s v="Longo"/>
        <s v="Mês 1" u="1"/>
      </sharedItems>
    </cacheField>
    <cacheField name="COMO" numFmtId="0"/>
    <cacheField name="INDICADOR" numFmtId="0"/>
    <cacheField name="Trimestres" numFmtId="0" databaseField="0">
      <fieldGroup base="4">
        <rangePr groupBy="quarters" startDate="2022-06-01T00:00:00" endDate="2026-12-31T00:00:00" groupInterval="1"/>
        <groupItems count="6">
          <s v="&lt;01/06/2022"/>
          <s v="Trim1"/>
          <s v="Trim2"/>
          <s v="Trim3"/>
          <s v="Trim4"/>
          <s v="&gt;31/12/2026"/>
        </groupItems>
      </fieldGroup>
    </cacheField>
    <cacheField name="Anos" numFmtId="0" databaseField="0">
      <fieldGroup base="4">
        <rangePr groupBy="years" startDate="2022-06-01T00:00:00" endDate="2026-12-31T00:00:00" groupInterval="1"/>
        <groupItems count="7">
          <s v="&lt;01/06/2022"/>
          <s v="2022"/>
          <s v="2023"/>
          <s v="2024"/>
          <s v="2025"/>
          <s v="2026"/>
          <s v="&gt;31/12/2026"/>
        </groupItems>
      </fieldGroup>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6" refreshedVersion="8" minRefreshableVersion="3" refreshedDate="45223.9003372685" refreshedBy="Autor" recordCount="1659">
  <cacheSource type="worksheet">
    <worksheetSource ref="B4:G1663" sheet="Diário (2)"/>
  </cacheSource>
  <cacheFields count="8">
    <cacheField name="MÊS" numFmtId="17">
      <sharedItems count="85">
        <s v="10/2023"/>
        <s v="11/2023"/>
        <s v="12/2023"/>
        <s v="1/2024"/>
        <s v="2/2024"/>
        <s v="3/2024"/>
        <s v="4/2024"/>
        <s v="5/2024"/>
        <s v="6/2024"/>
        <s v="7/2024"/>
        <s v="8/2024"/>
        <s v="9/2024"/>
        <s v="10/2024"/>
        <s v="11/2024"/>
        <s v="12/2024"/>
        <s v="1/2025"/>
        <s v="2/2025"/>
        <s v="3/2025"/>
        <s v="4/2025"/>
        <s v="5/2025"/>
        <s v="6/2025"/>
        <s v="7/2025"/>
        <s v="8/2025"/>
        <s v="9/2025"/>
        <s v="10/2025"/>
        <s v="11/2025"/>
        <s v="12/2025"/>
        <s v="1/2026"/>
        <s v="2/2026"/>
        <s v="3/2026"/>
        <s v="4/2026"/>
        <s v="5/2026"/>
        <s v="6/2026"/>
        <s v="7/2026"/>
        <s v="8/2026"/>
        <s v="9/2026"/>
        <s v="10/2026"/>
        <s v="11/2026"/>
        <s v="12/2026"/>
        <s v="1/2027"/>
        <s v="2/2027"/>
        <s v="3/2027"/>
        <s v="4/2027"/>
        <s v="5/2027"/>
        <s v="6/2027"/>
        <s v="7/2027"/>
        <s v="8/2027"/>
        <s v="9/2027"/>
        <s v="10/2027"/>
        <s v="11/2027"/>
        <s v="12/2027"/>
        <s v="1/2028"/>
        <s v="2/2028"/>
        <s v="3/2028"/>
        <s v="4/2028"/>
        <s v="5/2028"/>
        <s v="6/2028"/>
        <s v="7/2028"/>
        <s v="8/2028"/>
        <s v="9/2028"/>
        <s v="10/2028"/>
        <s v="11/2028"/>
        <s v="12/2028"/>
        <s v="1/2029"/>
        <s v="2/2029"/>
        <s v="3/2029"/>
        <s v="4/2029"/>
        <s v="5/2029"/>
        <s v="6/2029"/>
        <s v="7/2029"/>
        <s v="8/2029"/>
        <s v="9/2029"/>
        <s v="10/2029"/>
        <s v="11/2029"/>
        <s v="12/2029"/>
        <s v="1/2030"/>
        <s v="2/2030"/>
        <s v="2/2023" u="1"/>
        <s v="3/2023" u="1"/>
        <s v="4/2023" u="1"/>
        <s v="5/2023" u="1"/>
        <s v="6/2023" u="1"/>
        <s v="7/2023" u="1"/>
        <s v="8/2023" u="1"/>
        <s v="9/2023" u="1"/>
      </sharedItems>
    </cacheField>
    <cacheField name="DATA" numFmtId="58">
      <sharedItems containsSemiMixedTypes="0" containsString="0" containsNonDate="0" containsDate="1" minDate="2023-10-22T00:00:00" maxDate="2030-02-24T00:00:00" count="332">
        <d v="2023-10-22T00:00:00"/>
        <d v="2023-10-29T00:00:00"/>
        <d v="2023-11-05T00:00:00"/>
        <d v="2023-11-12T00:00:00"/>
        <d v="2023-11-19T00:00:00"/>
        <d v="2023-11-26T00:00:00"/>
        <d v="2023-12-03T00:00:00"/>
        <d v="2023-12-10T00:00:00"/>
        <d v="2023-12-17T00:00:00"/>
        <d v="2023-12-24T00:00:00"/>
        <d v="2023-12-31T00:00:00"/>
        <d v="2024-01-07T00:00:00"/>
        <d v="2024-01-14T00:00:00"/>
        <d v="2024-01-21T00:00:00"/>
        <d v="2024-01-28T00:00:00"/>
        <d v="2024-02-04T00:00:00"/>
        <d v="2024-02-11T00:00:00"/>
        <d v="2024-02-18T00:00:00"/>
        <d v="2024-02-25T00:00:00"/>
        <d v="2024-03-03T00:00:00"/>
        <d v="2024-03-10T00:00:00"/>
        <d v="2024-03-17T00:00:00"/>
        <d v="2024-03-24T00:00:00"/>
        <d v="2024-03-31T00:00:00"/>
        <d v="2024-04-07T00:00:00"/>
        <d v="2024-04-14T00:00:00"/>
        <d v="2024-04-21T00:00:00"/>
        <d v="2024-04-28T00:00:00"/>
        <d v="2024-05-05T00:00:00"/>
        <d v="2024-05-12T00:00:00"/>
        <d v="2024-05-19T00:00:00"/>
        <d v="2024-05-26T00:00:00"/>
        <d v="2024-06-02T00:00:00"/>
        <d v="2024-06-09T00:00:00"/>
        <d v="2024-06-16T00:00:00"/>
        <d v="2024-06-23T00:00:00"/>
        <d v="2024-06-30T00:00:00"/>
        <d v="2024-07-07T00:00:00"/>
        <d v="2024-07-14T00:00:00"/>
        <d v="2024-07-21T00:00:00"/>
        <d v="2024-07-28T00:00:00"/>
        <d v="2024-08-04T00:00:00"/>
        <d v="2024-08-11T00:00:00"/>
        <d v="2024-08-18T00:00:00"/>
        <d v="2024-08-25T00:00:00"/>
        <d v="2024-09-01T00:00:00"/>
        <d v="2024-09-08T00:00:00"/>
        <d v="2024-09-15T00:00:00"/>
        <d v="2024-09-22T00:00:00"/>
        <d v="2024-09-29T00:00:00"/>
        <d v="2024-10-06T00:00:00"/>
        <d v="2024-10-13T00:00:00"/>
        <d v="2024-10-20T00:00:00"/>
        <d v="2024-10-27T00:00:00"/>
        <d v="2024-11-03T00:00:00"/>
        <d v="2024-11-10T00:00:00"/>
        <d v="2024-11-17T00:00:00"/>
        <d v="2024-11-24T00:00:00"/>
        <d v="2024-12-01T00:00:00"/>
        <d v="2024-12-08T00:00:00"/>
        <d v="2024-12-15T00:00:00"/>
        <d v="2024-12-22T00:00:00"/>
        <d v="2024-12-29T00:00:00"/>
        <d v="2025-01-05T00:00:00"/>
        <d v="2025-01-12T00:00:00"/>
        <d v="2025-01-19T00:00:00"/>
        <d v="2025-01-26T00:00:00"/>
        <d v="2025-02-02T00:00:00"/>
        <d v="2025-02-09T00:00:00"/>
        <d v="2025-02-16T00:00:00"/>
        <d v="2025-02-23T00:00:00"/>
        <d v="2025-03-02T00:00:00"/>
        <d v="2025-03-09T00:00:00"/>
        <d v="2025-03-16T00:00:00"/>
        <d v="2025-03-23T00:00:00"/>
        <d v="2025-03-30T00:00:00"/>
        <d v="2025-04-06T00:00:00"/>
        <d v="2025-04-13T00:00:00"/>
        <d v="2025-04-20T00:00:00"/>
        <d v="2025-04-27T00:00:00"/>
        <d v="2025-05-04T00:00:00"/>
        <d v="2025-05-11T00:00:00"/>
        <d v="2025-05-18T00:00:00"/>
        <d v="2025-05-25T00:00:00"/>
        <d v="2025-06-01T00:00:00"/>
        <d v="2025-06-08T00:00:00"/>
        <d v="2025-06-15T00:00:00"/>
        <d v="2025-06-22T00:00:00"/>
        <d v="2025-06-29T00:00:00"/>
        <d v="2025-07-06T00:00:00"/>
        <d v="2025-07-13T00:00:00"/>
        <d v="2025-07-20T00:00:00"/>
        <d v="2025-07-27T00:00:00"/>
        <d v="2025-08-03T00:00:00"/>
        <d v="2025-08-10T00:00:00"/>
        <d v="2025-08-17T00:00:00"/>
        <d v="2025-08-24T00:00:00"/>
        <d v="2025-08-31T00:00:00"/>
        <d v="2025-09-07T00:00:00"/>
        <d v="2025-09-14T00:00:00"/>
        <d v="2025-09-21T00:00:00"/>
        <d v="2025-09-28T00:00:00"/>
        <d v="2025-10-05T00:00:00"/>
        <d v="2025-10-12T00:00:00"/>
        <d v="2025-10-19T00:00:00"/>
        <d v="2025-10-26T00:00:00"/>
        <d v="2025-11-02T00:00:00"/>
        <d v="2025-11-09T00:00:00"/>
        <d v="2025-11-16T00:00:00"/>
        <d v="2025-11-23T00:00:00"/>
        <d v="2025-11-30T00:00:00"/>
        <d v="2025-12-07T00:00:00"/>
        <d v="2025-12-14T00:00:00"/>
        <d v="2025-12-21T00:00:00"/>
        <d v="2025-12-28T00:00:00"/>
        <d v="2026-01-04T00:00:00"/>
        <d v="2026-01-11T00:00:00"/>
        <d v="2026-01-18T00:00:00"/>
        <d v="2026-01-25T00:00:00"/>
        <d v="2026-02-01T00:00:00"/>
        <d v="2026-02-08T00:00:00"/>
        <d v="2026-02-15T00:00:00"/>
        <d v="2026-02-22T00:00:00"/>
        <d v="2026-03-01T00:00:00"/>
        <d v="2026-03-08T00:00:00"/>
        <d v="2026-03-15T00:00:00"/>
        <d v="2026-03-22T00:00:00"/>
        <d v="2026-03-29T00:00:00"/>
        <d v="2026-04-05T00:00:00"/>
        <d v="2026-04-12T00:00:00"/>
        <d v="2026-04-19T00:00:00"/>
        <d v="2026-04-26T00:00:00"/>
        <d v="2026-05-03T00:00:00"/>
        <d v="2026-05-10T00:00:00"/>
        <d v="2026-05-17T00:00:00"/>
        <d v="2026-05-24T00:00:00"/>
        <d v="2026-05-31T00:00:00"/>
        <d v="2026-06-07T00:00:00"/>
        <d v="2026-06-14T00:00:00"/>
        <d v="2026-06-21T00:00:00"/>
        <d v="2026-06-28T00:00:00"/>
        <d v="2026-07-05T00:00:00"/>
        <d v="2026-07-12T00:00:00"/>
        <d v="2026-07-19T00:00:00"/>
        <d v="2026-07-26T00:00:00"/>
        <d v="2026-08-02T00:00:00"/>
        <d v="2026-08-09T00:00:00"/>
        <d v="2026-08-16T00:00:00"/>
        <d v="2026-08-23T00:00:00"/>
        <d v="2026-08-30T00:00:00"/>
        <d v="2026-09-06T00:00:00"/>
        <d v="2026-09-13T00:00:00"/>
        <d v="2026-09-20T00:00:00"/>
        <d v="2026-09-27T00:00:00"/>
        <d v="2026-10-04T00:00:00"/>
        <d v="2026-10-11T00:00:00"/>
        <d v="2026-10-18T00:00:00"/>
        <d v="2026-10-25T00:00:00"/>
        <d v="2026-11-01T00:00:00"/>
        <d v="2026-11-08T00:00:00"/>
        <d v="2026-11-15T00:00:00"/>
        <d v="2026-11-22T00:00:00"/>
        <d v="2026-11-29T00:00:00"/>
        <d v="2026-12-06T00:00:00"/>
        <d v="2026-12-13T00:00:00"/>
        <d v="2026-12-20T00:00:00"/>
        <d v="2026-12-27T00:00:00"/>
        <d v="2027-01-03T00:00:00"/>
        <d v="2027-01-10T00:00:00"/>
        <d v="2027-01-17T00:00:00"/>
        <d v="2027-01-24T00:00:00"/>
        <d v="2027-01-31T00:00:00"/>
        <d v="2027-02-07T00:00:00"/>
        <d v="2027-02-14T00:00:00"/>
        <d v="2027-02-21T00:00:00"/>
        <d v="2027-02-28T00:00:00"/>
        <d v="2027-03-07T00:00:00"/>
        <d v="2027-03-14T00:00:00"/>
        <d v="2027-03-21T00:00:00"/>
        <d v="2027-03-28T00:00:00"/>
        <d v="2027-04-04T00:00:00"/>
        <d v="2027-04-11T00:00:00"/>
        <d v="2027-04-18T00:00:00"/>
        <d v="2027-04-25T00:00:00"/>
        <d v="2027-05-02T00:00:00"/>
        <d v="2027-05-09T00:00:00"/>
        <d v="2027-05-16T00:00:00"/>
        <d v="2027-05-23T00:00:00"/>
        <d v="2027-05-30T00:00:00"/>
        <d v="2027-06-06T00:00:00"/>
        <d v="2027-06-13T00:00:00"/>
        <d v="2027-06-20T00:00:00"/>
        <d v="2027-06-27T00:00:00"/>
        <d v="2027-07-04T00:00:00"/>
        <d v="2027-07-11T00:00:00"/>
        <d v="2027-07-18T00:00:00"/>
        <d v="2027-07-25T00:00:00"/>
        <d v="2027-08-01T00:00:00"/>
        <d v="2027-08-08T00:00:00"/>
        <d v="2027-08-15T00:00:00"/>
        <d v="2027-08-22T00:00:00"/>
        <d v="2027-08-29T00:00:00"/>
        <d v="2027-09-05T00:00:00"/>
        <d v="2027-09-12T00:00:00"/>
        <d v="2027-09-19T00:00:00"/>
        <d v="2027-09-26T00:00:00"/>
        <d v="2027-10-03T00:00:00"/>
        <d v="2027-10-10T00:00:00"/>
        <d v="2027-10-17T00:00:00"/>
        <d v="2027-10-24T00:00:00"/>
        <d v="2027-10-31T00:00:00"/>
        <d v="2027-11-07T00:00:00"/>
        <d v="2027-11-14T00:00:00"/>
        <d v="2027-11-21T00:00:00"/>
        <d v="2027-11-28T00:00:00"/>
        <d v="2027-12-05T00:00:00"/>
        <d v="2027-12-12T00:00:00"/>
        <d v="2027-12-19T00:00:00"/>
        <d v="2027-12-26T00:00:00"/>
        <d v="2028-01-02T00:00:00"/>
        <d v="2028-01-09T00:00:00"/>
        <d v="2028-01-16T00:00:00"/>
        <d v="2028-01-23T00:00:00"/>
        <d v="2028-01-30T00:00:00"/>
        <d v="2028-02-06T00:00:00"/>
        <d v="2028-02-13T00:00:00"/>
        <d v="2028-02-20T00:00:00"/>
        <d v="2028-02-27T00:00:00"/>
        <d v="2028-03-05T00:00:00"/>
        <d v="2028-03-12T00:00:00"/>
        <d v="2028-03-19T00:00:00"/>
        <d v="2028-03-26T00:00:00"/>
        <d v="2028-04-02T00:00:00"/>
        <d v="2028-04-09T00:00:00"/>
        <d v="2028-04-16T00:00:00"/>
        <d v="2028-04-23T00:00:00"/>
        <d v="2028-04-30T00:00:00"/>
        <d v="2028-05-07T00:00:00"/>
        <d v="2028-05-14T00:00:00"/>
        <d v="2028-05-21T00:00:00"/>
        <d v="2028-05-28T00:00:00"/>
        <d v="2028-06-04T00:00:00"/>
        <d v="2028-06-11T00:00:00"/>
        <d v="2028-06-18T00:00:00"/>
        <d v="2028-06-25T00:00:00"/>
        <d v="2028-07-02T00:00:00"/>
        <d v="2028-07-09T00:00:00"/>
        <d v="2028-07-16T00:00:00"/>
        <d v="2028-07-23T00:00:00"/>
        <d v="2028-07-30T00:00:00"/>
        <d v="2028-08-06T00:00:00"/>
        <d v="2028-08-13T00:00:00"/>
        <d v="2028-08-20T00:00:00"/>
        <d v="2028-08-27T00:00:00"/>
        <d v="2028-09-03T00:00:00"/>
        <d v="2028-09-10T00:00:00"/>
        <d v="2028-09-17T00:00:00"/>
        <d v="2028-09-24T00:00:00"/>
        <d v="2028-10-01T00:00:00"/>
        <d v="2028-10-08T00:00:00"/>
        <d v="2028-10-15T00:00:00"/>
        <d v="2028-10-22T00:00:00"/>
        <d v="2028-10-29T00:00:00"/>
        <d v="2028-11-05T00:00:00"/>
        <d v="2028-11-12T00:00:00"/>
        <d v="2028-11-19T00:00:00"/>
        <d v="2028-11-26T00:00:00"/>
        <d v="2028-12-03T00:00:00"/>
        <d v="2028-12-10T00:00:00"/>
        <d v="2028-12-17T00:00:00"/>
        <d v="2028-12-24T00:00:00"/>
        <d v="2028-12-31T00:00:00"/>
        <d v="2029-01-07T00:00:00"/>
        <d v="2029-01-14T00:00:00"/>
        <d v="2029-01-21T00:00:00"/>
        <d v="2029-01-28T00:00:00"/>
        <d v="2029-02-04T00:00:00"/>
        <d v="2029-02-11T00:00:00"/>
        <d v="2029-02-18T00:00:00"/>
        <d v="2029-02-25T00:00:00"/>
        <d v="2029-03-04T00:00:00"/>
        <d v="2029-03-11T00:00:00"/>
        <d v="2029-03-18T00:00:00"/>
        <d v="2029-03-25T00:00:00"/>
        <d v="2029-04-01T00:00:00"/>
        <d v="2029-04-08T00:00:00"/>
        <d v="2029-04-15T00:00:00"/>
        <d v="2029-04-22T00:00:00"/>
        <d v="2029-04-29T00:00:00"/>
        <d v="2029-05-06T00:00:00"/>
        <d v="2029-05-13T00:00:00"/>
        <d v="2029-05-20T00:00:00"/>
        <d v="2029-05-27T00:00:00"/>
        <d v="2029-06-03T00:00:00"/>
        <d v="2029-06-10T00:00:00"/>
        <d v="2029-06-17T00:00:00"/>
        <d v="2029-06-24T00:00:00"/>
        <d v="2029-07-01T00:00:00"/>
        <d v="2029-07-08T00:00:00"/>
        <d v="2029-07-15T00:00:00"/>
        <d v="2029-07-22T00:00:00"/>
        <d v="2029-07-29T00:00:00"/>
        <d v="2029-08-05T00:00:00"/>
        <d v="2029-08-12T00:00:00"/>
        <d v="2029-08-19T00:00:00"/>
        <d v="2029-08-26T00:00:00"/>
        <d v="2029-09-02T00:00:00"/>
        <d v="2029-09-09T00:00:00"/>
        <d v="2029-09-16T00:00:00"/>
        <d v="2029-09-23T00:00:00"/>
        <d v="2029-09-30T00:00:00"/>
        <d v="2029-10-07T00:00:00"/>
        <d v="2029-10-14T00:00:00"/>
        <d v="2029-10-21T00:00:00"/>
        <d v="2029-10-28T00:00:00"/>
        <d v="2029-11-04T00:00:00"/>
        <d v="2029-11-11T00:00:00"/>
        <d v="2029-11-18T00:00:00"/>
        <d v="2029-11-25T00:00:00"/>
        <d v="2029-12-02T00:00:00"/>
        <d v="2029-12-09T00:00:00"/>
        <d v="2029-12-16T00:00:00"/>
        <d v="2029-12-23T00:00:00"/>
        <d v="2029-12-30T00:00:00"/>
        <d v="2030-01-06T00:00:00"/>
        <d v="2030-01-13T00:00:00"/>
        <d v="2030-01-20T00:00:00"/>
        <d v="2030-01-27T00:00:00"/>
        <d v="2030-02-03T00:00:00"/>
        <d v="2030-02-10T00:00:00"/>
        <d v="2030-02-17T00:00:00"/>
        <d v="2030-02-24T00:00:00"/>
      </sharedItems>
      <fieldGroup base="1">
        <rangePr groupBy="months" startDate="2023-10-22T00:00:00" endDate="2030-02-25T00:00:00" groupInterval="1"/>
        <groupItems count="14">
          <s v="&lt;22/10/2023"/>
          <s v="jan"/>
          <s v="fev"/>
          <s v="mar"/>
          <s v="abr"/>
          <s v="mai"/>
          <s v="jun"/>
          <s v="jul"/>
          <s v="ago"/>
          <s v="set"/>
          <s v="out"/>
          <s v="nov"/>
          <s v="dez"/>
          <s v="&gt;25/02/2030"/>
        </groupItems>
      </fieldGroup>
    </cacheField>
    <cacheField name="SEMANA" numFmtId="58">
      <sharedItems containsDate="1" containsMixedTypes="1" count="374">
        <s v="22/10/2023 a 28/10/2023"/>
        <s v="29/10/2023 a 04/11/2023"/>
        <s v="05/11/2023 a 11/11/2023"/>
        <s v="12/11/2023 a 18/11/2023"/>
        <s v="19/11/2023 a 25/11/2023"/>
        <s v="26/11/2023 a 02/12/2023"/>
        <s v="03/12/2023 a 09/12/2023"/>
        <s v="10/12/2023 a 16/12/2023"/>
        <s v="17/12/2023 a 23/12/2023"/>
        <s v="24/12/2023 a 30/12/2023"/>
        <s v="31/12/2023 a 06/01/2024"/>
        <s v="07/01/2024 a 13/01/2024"/>
        <s v="14/01/2024 a 20/01/2024"/>
        <s v="21/01/2024 a 27/01/2024"/>
        <s v="28/01/2024 a 03/02/2024"/>
        <s v="04/02/2024 a 10/02/2024"/>
        <s v="11/02/2024 a 17/02/2024"/>
        <s v="18/02/2024 a 24/02/2024"/>
        <s v="25/02/2024 a 02/03/2024"/>
        <s v="03/03/2024 a 09/03/2024"/>
        <s v="10/03/2024 a 16/03/2024"/>
        <s v="17/03/2024 a 23/03/2024"/>
        <s v="24/03/2024 a 30/03/2024"/>
        <s v="31/03/2024 a 06/04/2024"/>
        <s v="07/04/2024 a 13/04/2024"/>
        <s v="14/04/2024 a 20/04/2024"/>
        <s v="21/04/2024 a 27/04/2024"/>
        <s v="28/04/2024 a 04/05/2024"/>
        <s v="05/05/2024 a 11/05/2024"/>
        <s v="12/05/2024 a 18/05/2024"/>
        <s v="19/05/2024 a 25/05/2024"/>
        <s v="26/05/2024 a 01/06/2024"/>
        <s v="02/06/2024 a 08/06/2024"/>
        <s v="09/06/2024 a 15/06/2024"/>
        <s v="16/06/2024 a 22/06/2024"/>
        <s v="23/06/2024 a 29/06/2024"/>
        <s v="30/06/2024 a 06/07/2024"/>
        <s v="07/07/2024 a 13/07/2024"/>
        <s v="14/07/2024 a 20/07/2024"/>
        <s v="21/07/2024 a 27/07/2024"/>
        <s v="28/07/2024 a 03/08/2024"/>
        <s v="04/08/2024 a 10/08/2024"/>
        <s v="11/08/2024 a 17/08/2024"/>
        <s v="18/08/2024 a 24/08/2024"/>
        <s v="25/08/2024 a 31/08/2024"/>
        <s v="01/09/2024 a 07/09/2024"/>
        <s v="08/09/2024 a 14/09/2024"/>
        <s v="15/09/2024 a 21/09/2024"/>
        <s v="22/09/2024 a 28/09/2024"/>
        <s v="29/09/2024 a 05/10/2024"/>
        <s v="06/10/2024 a 12/10/2024"/>
        <s v="13/10/2024 a 19/10/2024"/>
        <s v="20/10/2024 a 26/10/2024"/>
        <s v="27/10/2024 a 02/11/2024"/>
        <s v="03/11/2024 a 09/11/2024"/>
        <s v="10/11/2024 a 16/11/2024"/>
        <s v="17/11/2024 a 23/11/2024"/>
        <s v="24/11/2024 a 30/11/2024"/>
        <s v="01/12/2024 a 07/12/2024"/>
        <s v="08/12/2024 a 14/12/2024"/>
        <s v="15/12/2024 a 21/12/2024"/>
        <s v="22/12/2024 a 28/12/2024"/>
        <s v="29/12/2024 a 04/01/2025"/>
        <s v="05/01/2025 a 11/01/2025"/>
        <s v="12/01/2025 a 18/01/2025"/>
        <s v="19/01/2025 a 25/01/2025"/>
        <s v="26/01/2025 a 01/02/2025"/>
        <s v="02/02/2025 a 08/02/2025"/>
        <s v="09/02/2025 a 15/02/2025"/>
        <s v="16/02/2025 a 22/02/2025"/>
        <s v="23/02/2025 a 01/03/2025"/>
        <s v="02/03/2025 a 08/03/2025"/>
        <s v="09/03/2025 a 15/03/2025"/>
        <s v="16/03/2025 a 22/03/2025"/>
        <s v="23/03/2025 a 29/03/2025"/>
        <s v="30/03/2025 a 05/04/2025"/>
        <s v="06/04/2025 a 12/04/2025"/>
        <s v="13/04/2025 a 19/04/2025"/>
        <s v="20/04/2025 a 26/04/2025"/>
        <s v="27/04/2025 a 03/05/2025"/>
        <s v="04/05/2025 a 10/05/2025"/>
        <s v="11/05/2025 a 17/05/2025"/>
        <s v="18/05/2025 a 24/05/2025"/>
        <s v="25/05/2025 a 31/05/2025"/>
        <s v="01/06/2025 a 07/06/2025"/>
        <s v="08/06/2025 a 14/06/2025"/>
        <s v="15/06/2025 a 21/06/2025"/>
        <s v="22/06/2025 a 28/06/2025"/>
        <s v="29/06/2025 a 05/07/2025"/>
        <s v="06/07/2025 a 12/07/2025"/>
        <s v="13/07/2025 a 19/07/2025"/>
        <s v="20/07/2025 a 26/07/2025"/>
        <s v="27/07/2025 a 02/08/2025"/>
        <s v="03/08/2025 a 09/08/2025"/>
        <s v="10/08/2025 a 16/08/2025"/>
        <s v="17/08/2025 a 23/08/2025"/>
        <s v="24/08/2025 a 30/08/2025"/>
        <s v="31/08/2025 a 06/09/2025"/>
        <s v="07/09/2025 a 13/09/2025"/>
        <s v="14/09/2025 a 20/09/2025"/>
        <s v="21/09/2025 a 27/09/2025"/>
        <s v="28/09/2025 a 04/10/2025"/>
        <s v="05/10/2025 a 11/10/2025"/>
        <s v="12/10/2025 a 18/10/2025"/>
        <s v="19/10/2025 a 25/10/2025"/>
        <s v="26/10/2025 a 01/11/2025"/>
        <s v="02/11/2025 a 08/11/2025"/>
        <s v="09/11/2025 a 15/11/2025"/>
        <s v="16/11/2025 a 22/11/2025"/>
        <s v="23/11/2025 a 29/11/2025"/>
        <s v="30/11/2025 a 06/12/2025"/>
        <s v="07/12/2025 a 13/12/2025"/>
        <s v="14/12/2025 a 20/12/2025"/>
        <s v="21/12/2025 a 27/12/2025"/>
        <s v="28/12/2025 a 03/01/2026"/>
        <s v="04/01/2026 a 10/01/2026"/>
        <s v="11/01/2026 a 17/01/2026"/>
        <s v="18/01/2026 a 24/01/2026"/>
        <s v="25/01/2026 a 31/01/2026"/>
        <s v="01/02/2026 a 07/02/2026"/>
        <s v="08/02/2026 a 14/02/2026"/>
        <s v="15/02/2026 a 21/02/2026"/>
        <s v="22/02/2026 a 28/02/2026"/>
        <s v="01/03/2026 a 07/03/2026"/>
        <s v="08/03/2026 a 14/03/2026"/>
        <s v="15/03/2026 a 21/03/2026"/>
        <s v="22/03/2026 a 28/03/2026"/>
        <s v="29/03/2026 a 04/04/2026"/>
        <s v="05/04/2026 a 11/04/2026"/>
        <s v="12/04/2026 a 18/04/2026"/>
        <s v="19/04/2026 a 25/04/2026"/>
        <s v="26/04/2026 a 02/05/2026"/>
        <s v="03/05/2026 a 09/05/2026"/>
        <s v="10/05/2026 a 16/05/2026"/>
        <s v="17/05/2026 a 23/05/2026"/>
        <s v="24/05/2026 a 30/05/2026"/>
        <s v="31/05/2026 a 06/06/2026"/>
        <s v="07/06/2026 a 13/06/2026"/>
        <s v="14/06/2026 a 20/06/2026"/>
        <s v="21/06/2026 a 27/06/2026"/>
        <s v="28/06/2026 a 04/07/2026"/>
        <s v="05/07/2026 a 11/07/2026"/>
        <s v="12/07/2026 a 18/07/2026"/>
        <s v="19/07/2026 a 25/07/2026"/>
        <s v="26/07/2026 a 01/08/2026"/>
        <s v="02/08/2026 a 08/08/2026"/>
        <s v="09/08/2026 a 15/08/2026"/>
        <s v="16/08/2026 a 22/08/2026"/>
        <s v="23/08/2026 a 29/08/2026"/>
        <s v="30/08/2026 a 05/09/2026"/>
        <s v="06/09/2026 a 12/09/2026"/>
        <s v="13/09/2026 a 19/09/2026"/>
        <s v="20/09/2026 a 26/09/2026"/>
        <s v="27/09/2026 a 03/10/2026"/>
        <s v="04/10/2026 a 10/10/2026"/>
        <s v="11/10/2026 a 17/10/2026"/>
        <s v="18/10/2026 a 24/10/2026"/>
        <s v="25/10/2026 a 31/10/2026"/>
        <s v="01/11/2026 a 07/11/2026"/>
        <s v="08/11/2026 a 14/11/2026"/>
        <s v="15/11/2026 a 21/11/2026"/>
        <s v="22/11/2026 a 28/11/2026"/>
        <s v="29/11/2026 a 05/12/2026"/>
        <s v="06/12/2026 a 12/12/2026"/>
        <s v="13/12/2026 a 19/12/2026"/>
        <s v="20/12/2026 a 26/12/2026"/>
        <s v="27/12/2026 a 02/01/2027"/>
        <s v="03/01/2027 a 09/01/2027"/>
        <s v="10/01/2027 a 16/01/2027"/>
        <s v="17/01/2027 a 23/01/2027"/>
        <s v="24/01/2027 a 30/01/2027"/>
        <s v="31/01/2027 a 06/02/2027"/>
        <s v="07/02/2027 a 13/02/2027"/>
        <s v="14/02/2027 a 20/02/2027"/>
        <s v="21/02/2027 a 27/02/2027"/>
        <s v="28/02/2027 a 06/03/2027"/>
        <s v="07/03/2027 a 13/03/2027"/>
        <s v="14/03/2027 a 20/03/2027"/>
        <s v="21/03/2027 a 27/03/2027"/>
        <s v="28/03/2027 a 03/04/2027"/>
        <s v="04/04/2027 a 10/04/2027"/>
        <s v="11/04/2027 a 17/04/2027"/>
        <s v="18/04/2027 a 24/04/2027"/>
        <s v="25/04/2027 a 01/05/2027"/>
        <s v="02/05/2027 a 08/05/2027"/>
        <s v="09/05/2027 a 15/05/2027"/>
        <s v="16/05/2027 a 22/05/2027"/>
        <s v="23/05/2027 a 29/05/2027"/>
        <s v="30/05/2027 a 05/06/2027"/>
        <s v="06/06/2027 a 12/06/2027"/>
        <s v="13/06/2027 a 19/06/2027"/>
        <s v="20/06/2027 a 26/06/2027"/>
        <s v="27/06/2027 a 03/07/2027"/>
        <s v="04/07/2027 a 10/07/2027"/>
        <s v="11/07/2027 a 17/07/2027"/>
        <s v="18/07/2027 a 24/07/2027"/>
        <s v="25/07/2027 a 31/07/2027"/>
        <s v="01/08/2027 a 07/08/2027"/>
        <s v="08/08/2027 a 14/08/2027"/>
        <s v="15/08/2027 a 21/08/2027"/>
        <s v="22/08/2027 a 28/08/2027"/>
        <s v="29/08/2027 a 04/09/2027"/>
        <s v="05/09/2027 a 11/09/2027"/>
        <s v="12/09/2027 a 18/09/2027"/>
        <s v="19/09/2027 a 25/09/2027"/>
        <s v="26/09/2027 a 02/10/2027"/>
        <s v="03/10/2027 a 09/10/2027"/>
        <s v="10/10/2027 a 16/10/2027"/>
        <s v="17/10/2027 a 23/10/2027"/>
        <s v="24/10/2027 a 30/10/2027"/>
        <s v="31/10/2027 a 06/11/2027"/>
        <s v="07/11/2027 a 13/11/2027"/>
        <s v="14/11/2027 a 20/11/2027"/>
        <s v="21/11/2027 a 27/11/2027"/>
        <s v="28/11/2027 a 04/12/2027"/>
        <s v="05/12/2027 a 11/12/2027"/>
        <s v="12/12/2027 a 18/12/2027"/>
        <s v="19/12/2027 a 25/12/2027"/>
        <s v="26/12/2027 a 01/01/2028"/>
        <s v="02/01/2028 a 08/01/2028"/>
        <s v="09/01/2028 a 15/01/2028"/>
        <s v="16/01/2028 a 22/01/2028"/>
        <s v="23/01/2028 a 29/01/2028"/>
        <s v="30/01/2028 a 05/02/2028"/>
        <s v="06/02/2028 a 12/02/2028"/>
        <s v="13/02/2028 a 19/02/2028"/>
        <s v="20/02/2028 a 26/02/2028"/>
        <s v="27/02/2028 a 04/03/2028"/>
        <s v="05/03/2028 a 11/03/2028"/>
        <s v="12/03/2028 a 18/03/2028"/>
        <s v="19/03/2028 a 25/03/2028"/>
        <s v="26/03/2028 a 01/04/2028"/>
        <s v="02/04/2028 a 08/04/2028"/>
        <s v="09/04/2028 a 15/04/2028"/>
        <s v="16/04/2028 a 22/04/2028"/>
        <s v="23/04/2028 a 29/04/2028"/>
        <s v="30/04/2028 a 06/05/2028"/>
        <s v="07/05/2028 a 13/05/2028"/>
        <s v="14/05/2028 a 20/05/2028"/>
        <s v="21/05/2028 a 27/05/2028"/>
        <s v="28/05/2028 a 03/06/2028"/>
        <s v="04/06/2028 a 10/06/2028"/>
        <s v="11/06/2028 a 17/06/2028"/>
        <s v="18/06/2028 a 24/06/2028"/>
        <s v="25/06/2028 a 01/07/2028"/>
        <s v="02/07/2028 a 08/07/2028"/>
        <s v="09/07/2028 a 15/07/2028"/>
        <s v="16/07/2028 a 22/07/2028"/>
        <s v="23/07/2028 a 29/07/2028"/>
        <s v="30/07/2028 a 05/08/2028"/>
        <s v="06/08/2028 a 12/08/2028"/>
        <s v="13/08/2028 a 19/08/2028"/>
        <s v="20/08/2028 a 26/08/2028"/>
        <s v="27/08/2028 a 02/09/2028"/>
        <s v="03/09/2028 a 09/09/2028"/>
        <s v="10/09/2028 a 16/09/2028"/>
        <s v="17/09/2028 a 23/09/2028"/>
        <s v="24/09/2028 a 30/09/2028"/>
        <s v="01/10/2028 a 07/10/2028"/>
        <s v="08/10/2028 a 14/10/2028"/>
        <s v="15/10/2028 a 21/10/2028"/>
        <s v="22/10/2028 a 28/10/2028"/>
        <s v="29/10/2028 a 04/11/2028"/>
        <s v="05/11/2028 a 11/11/2028"/>
        <s v="12/11/2028 a 18/11/2028"/>
        <s v="19/11/2028 a 25/11/2028"/>
        <s v="26/11/2028 a 02/12/2028"/>
        <s v="03/12/2028 a 09/12/2028"/>
        <s v="10/12/2028 a 16/12/2028"/>
        <s v="17/12/2028 a 23/12/2028"/>
        <s v="24/12/2028 a 30/12/2028"/>
        <s v="31/12/2028 a 06/01/2029"/>
        <s v="07/01/2029 a 13/01/2029"/>
        <s v="14/01/2029 a 20/01/2029"/>
        <s v="21/01/2029 a 27/01/2029"/>
        <s v="28/01/2029 a 03/02/2029"/>
        <s v="04/02/2029 a 10/02/2029"/>
        <s v="11/02/2029 a 17/02/2029"/>
        <s v="18/02/2029 a 24/02/2029"/>
        <s v="25/02/2029 a 03/03/2029"/>
        <s v="04/03/2029 a 10/03/2029"/>
        <s v="11/03/2029 a 17/03/2029"/>
        <s v="18/03/2029 a 24/03/2029"/>
        <s v="25/03/2029 a 31/03/2029"/>
        <s v="01/04/2029 a 07/04/2029"/>
        <s v="08/04/2029 a 14/04/2029"/>
        <s v="15/04/2029 a 21/04/2029"/>
        <s v="22/04/2029 a 28/04/2029"/>
        <s v="29/04/2029 a 05/05/2029"/>
        <s v="06/05/2029 a 12/05/2029"/>
        <s v="13/05/2029 a 19/05/2029"/>
        <s v="20/05/2029 a 26/05/2029"/>
        <s v="27/05/2029 a 02/06/2029"/>
        <s v="03/06/2029 a 09/06/2029"/>
        <s v="10/06/2029 a 16/06/2029"/>
        <s v="17/06/2029 a 23/06/2029"/>
        <s v="24/06/2029 a 30/06/2029"/>
        <s v="01/07/2029 a 07/07/2029"/>
        <s v="08/07/2029 a 14/07/2029"/>
        <s v="15/07/2029 a 21/07/2029"/>
        <s v="22/07/2029 a 28/07/2029"/>
        <s v="29/07/2029 a 04/08/2029"/>
        <s v="05/08/2029 a 11/08/2029"/>
        <s v="12/08/2029 a 18/08/2029"/>
        <s v="19/08/2029 a 25/08/2029"/>
        <s v="26/08/2029 a 01/09/2029"/>
        <s v="02/09/2029 a 08/09/2029"/>
        <s v="09/09/2029 a 15/09/2029"/>
        <s v="16/09/2029 a 22/09/2029"/>
        <s v="23/09/2029 a 29/09/2029"/>
        <s v="30/09/2029 a 06/10/2029"/>
        <s v="07/10/2029 a 13/10/2029"/>
        <s v="14/10/2029 a 20/10/2029"/>
        <s v="21/10/2029 a 27/10/2029"/>
        <s v="28/10/2029 a 03/11/2029"/>
        <s v="04/11/2029 a 10/11/2029"/>
        <s v="11/11/2029 a 17/11/2029"/>
        <s v="18/11/2029 a 24/11/2029"/>
        <s v="25/11/2029 a 01/12/2029"/>
        <s v="02/12/2029 a 08/12/2029"/>
        <s v="09/12/2029 a 15/12/2029"/>
        <s v="16/12/2029 a 22/12/2029"/>
        <s v="23/12/2029 a 29/12/2029"/>
        <s v="30/12/2029 a 05/01/2030"/>
        <s v="06/01/2030 a 12/01/2030"/>
        <s v="13/01/2030 a 19/01/2030"/>
        <s v="20/01/2030 a 26/01/2030"/>
        <s v="27/01/2030 a 02/02/2030"/>
        <s v="03/02/2030 a 09/02/2030"/>
        <s v="10/02/2030 a 16/02/2030"/>
        <s v="17/02/2030 a 23/02/2030"/>
        <s v="24/02/2030 a 02/03/2030"/>
        <s v="01/02/2023 a 04/02/2023" u="1"/>
        <s v="05/02/2023 a 11/02/2023" u="1"/>
        <s v="12/02/2023 a 18/02/2023" u="1"/>
        <s v="19/02/2023 a 25/02/2023" u="1"/>
        <s v="26/02/2023 a 04/03/2023" u="1"/>
        <s v="05/03/2023 a 11/03/2023" u="1"/>
        <s v="12/03/2023 a 18/03/2023" u="1"/>
        <s v="19/03/2023 a 25/03/2023" u="1"/>
        <s v="26/03/2023 a 01/04/2023" u="1"/>
        <s v="02/04/2023 a 08/04/2023" u="1"/>
        <s v="09/04/2023 a 15/04/2023" u="1"/>
        <s v="16/04/2023 a 22/04/2023" u="1"/>
        <s v="23/04/2023 a 29/04/2023" u="1"/>
        <s v="30/04/2023 a 06/05/2023" u="1"/>
        <s v="07/05/2023 a 13/05/2023" u="1"/>
        <s v="14/05/2023 a 20/05/2023" u="1"/>
        <s v="21/05/2023 a 27/05/2023" u="1"/>
        <s v="28/05/2023 a 03/06/2023" u="1"/>
        <s v="04/06/2023 a 10/06/2023" u="1"/>
        <s v="11/06/2023 a 17/06/2023" u="1"/>
        <s v="18/06/2023 a 24/06/2023" u="1"/>
        <s v="25/06/2023 a 01/07/2023" u="1"/>
        <s v="02/07/2023 a 08/07/2023" u="1"/>
        <s v="09/07/2023 a 15/07/2023" u="1"/>
        <s v="16/07/2023 a 22/07/2023" u="1"/>
        <s v="23/07/2023 a 29/07/2023" u="1"/>
        <s v="30/07/2023 a 05/08/2023" u="1"/>
        <s v="06/08/2023 a 12/08/2023" u="1"/>
        <s v="13/08/2023 a 19/08/2023" u="1"/>
        <s v="20/08/2023 a 26/08/2023" u="1"/>
        <s v="27/08/2023 a 02/09/2023" u="1"/>
        <s v="03/09/2023 a 09/09/2023" u="1"/>
        <s v="10/09/2023 a 16/09/2023" u="1"/>
        <s v="17/09/2023 a 23/09/2023" u="1"/>
        <s v="24/09/2023 a 30/09/2023" u="1"/>
        <s v="01/10/2023 a 07/10/2023" u="1"/>
        <s v="08/10/2023 a 14/10/2023" u="1"/>
        <s v="15/10/2023 a 21/10/2023" u="1"/>
        <d v="1899-12-31T00:00:00" u="1"/>
        <d v="1900-01-02T00:00:00" u="1"/>
        <d v="1899-12-30T00:00:00" u="1"/>
        <d v="1900-01-01T00:00:00" u="1"/>
      </sharedItems>
    </cacheField>
    <cacheField name="REF" numFmtId="0"/>
    <cacheField name="STATUS" numFmtId="0">
      <sharedItems containsSemiMixedTypes="0" containsString="0" containsNumber="1" containsInteger="1" minValue="0" maxValue="0" count="1">
        <n v="0"/>
      </sharedItems>
    </cacheField>
    <cacheField name="AÇÃO" numFmtId="0"/>
    <cacheField name="Trimestres" numFmtId="0" databaseField="0">
      <fieldGroup base="1">
        <rangePr groupBy="quarters" startDate="2023-10-22T00:00:00" endDate="2030-02-25T00:00:00" groupInterval="1"/>
        <groupItems count="6">
          <s v="&lt;22/10/2023"/>
          <s v="Trim1"/>
          <s v="Trim2"/>
          <s v="Trim3"/>
          <s v="Trim4"/>
          <s v="&gt;25/02/2030"/>
        </groupItems>
      </fieldGroup>
    </cacheField>
    <cacheField name="Anos" numFmtId="0" databaseField="0">
      <fieldGroup base="1">
        <rangePr groupBy="years" startDate="2023-10-22T00:00:00" endDate="2030-02-25T00:00:00" groupInterval="1"/>
        <groupItems count="10">
          <s v="&lt;22/10/2023"/>
          <s v="2023"/>
          <s v="2024"/>
          <s v="2025"/>
          <s v="2026"/>
          <s v="2027"/>
          <s v="2028"/>
          <s v="2029"/>
          <s v="2030"/>
          <s v="&gt;25/02/2030"/>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
  <r>
    <x v="0"/>
    <x v="0"/>
    <s v="Me desenvolver como gestor"/>
    <s v="Me desenvolver como gestor"/>
    <x v="0"/>
    <x v="0"/>
    <s v="Realizar cursos livres de gestão 1h na semana"/>
    <s v="Notas de estudo e anotações nos livros"/>
  </r>
  <r>
    <x v="0"/>
    <x v="0"/>
    <s v="Me desenvolver tecnicamente em proteção SEP, com foco em AT"/>
    <s v="Me desenvolver tecnicamente em proteção SEP, com foco em AT"/>
    <x v="0"/>
    <x v="0"/>
    <s v="Realizar estudo direcionado para análise de SEP 2,5h na semana"/>
    <s v="Notas de estudo e anotações nos livros"/>
  </r>
  <r>
    <x v="0"/>
    <x v="0"/>
    <s v="Me desenvolver tecnicamente em proteção SEP, com foco em AT"/>
    <s v="Me desenvolver tecnicamente em proteção SEP, com foco em AT"/>
    <x v="0"/>
    <x v="0"/>
    <s v="Realizar estudos das aulas de SEP do curso PLT no fim de semana"/>
    <s v="Notas de estudo e anotações nos livros"/>
  </r>
  <r>
    <x v="0"/>
    <x v="0"/>
    <s v="Me desenvolver tecnicamente no negócio de distribuição de energia"/>
    <s v="Me desenvolver tecnicamente no negócio de distribuição de energia"/>
    <x v="0"/>
    <x v="0"/>
    <s v="Estudar os indicadores de qualidade de energia 1h na semana"/>
    <s v="Notas de estudo e anotações nos livros"/>
  </r>
  <r>
    <x v="0"/>
    <x v="0"/>
    <s v="Me desenvolver como gestor"/>
    <s v="Me desenvolver como gestor"/>
    <x v="0"/>
    <x v="1"/>
    <s v="Realizar cursos livres de gestão 4h no mês"/>
    <s v="Notas de estudo e anotações nos livros"/>
  </r>
  <r>
    <x v="0"/>
    <x v="0"/>
    <s v="Me desenvolver tecnicamente em proteção SEP, com foco em AT"/>
    <s v="Me desenvolver tecnicamente em proteção SEP, com foco em AT"/>
    <x v="0"/>
    <x v="1"/>
    <s v="Realizar estudo direcionado para análise de SEP 10h no mês"/>
    <s v="Notas de estudo e anotações nos livros"/>
  </r>
  <r>
    <x v="0"/>
    <x v="0"/>
    <s v="Me desenvolver tecnicamente em proteção SEP, com foco em AT"/>
    <s v="Me desenvolver tecnicamente em proteção SEP, com foco em AT"/>
    <x v="0"/>
    <x v="1"/>
    <s v="Realizar estudo das aulas de SEP dos cursos de proteção nos finais de semana"/>
    <s v="Notas de estudo e anotações nos livros"/>
  </r>
  <r>
    <x v="0"/>
    <x v="0"/>
    <s v="Me desenvolver tecnicamente no negócio de distribuição de energia"/>
    <s v="Me desenvolver tecnicamente no negócio de distribuição de energia"/>
    <x v="0"/>
    <x v="1"/>
    <s v="Estudar os indicadores de qualidade de energia 4h no mês"/>
    <s v="Notas de estudo e anotações nos livros"/>
  </r>
  <r>
    <x v="1"/>
    <x v="1"/>
    <s v="10 min/ dia de cardio e seguir rotina de treino diário de musculação"/>
    <s v="10 min/ dia de cardio e seguir rotina de treino diário de musculação"/>
    <x v="0"/>
    <x v="0"/>
    <s v="Todos os dia após meditar"/>
    <s v="Print app de corrida e treino"/>
  </r>
  <r>
    <x v="0"/>
    <x v="1"/>
    <s v="Estudar 2,5h de inglês"/>
    <s v="Estudar 2,5h de inglês"/>
    <x v="0"/>
    <x v="0"/>
    <s v="Estudar ao menos 0,5 h por dia, 5 dias na semana"/>
    <s v="Duolingo e anotações"/>
  </r>
  <r>
    <x v="0"/>
    <x v="1"/>
    <s v="Fazer agradecimento diário"/>
    <s v="Fazer agradecimento diário"/>
    <x v="0"/>
    <x v="0"/>
    <s v="Todos os dias antes de dormir"/>
    <s v="Planilha &quot;DIÁRIO&quot;"/>
  </r>
  <r>
    <x v="0"/>
    <x v="1"/>
    <s v="Fazer de 5  a 10 min/ dia de meditação"/>
    <s v="Fazer de 5  a 10 min/ dia de meditação"/>
    <x v="0"/>
    <x v="0"/>
    <s v="Todos os dias meditar após acordar"/>
    <s v="Não há"/>
  </r>
  <r>
    <x v="0"/>
    <x v="1"/>
    <s v="Fazer planejamento da semana seguinte"/>
    <s v="Fazer planejamento da semana seguinte"/>
    <x v="0"/>
    <x v="0"/>
    <s v="No domingo, antes de começar a semana seguinte, na planilha &quot;Diário&quot;"/>
    <s v="Planilha &quot;DIÁRIO&quot;"/>
  </r>
  <r>
    <x v="0"/>
    <x v="1"/>
    <s v="Ler 4 capítulos do livro &quot;Seja Foda&quot;"/>
    <s v="Ler 4 capítulos do livro &quot;Seja Foda&quot;"/>
    <x v="0"/>
    <x v="0"/>
    <s v="Separar tempo no dia para ler"/>
    <s v="Livro com anotações etc"/>
  </r>
  <r>
    <x v="0"/>
    <x v="1"/>
    <s v="Reformular treino e dieta"/>
    <s v="Reformular treino e dieta"/>
    <x v="0"/>
    <x v="0"/>
    <s v="Através da planilha de controle de dieta e de treino para acompanhamento dos resultados"/>
    <s v="Planilha de acompanhameto de dieta e de treino atualizada"/>
  </r>
  <r>
    <x v="0"/>
    <x v="1"/>
    <s v="Começar o primeiro livro (&quot;Seja foda&quot; de Caio Carneiro)"/>
    <s v="Começar o primeiro livro (&quot;Seja foda&quot; de Caio Carneiro)"/>
    <x v="0"/>
    <x v="1"/>
    <s v="Separar tempo no dia para ler"/>
    <s v="Livro com anotações etc"/>
  </r>
  <r>
    <x v="0"/>
    <x v="1"/>
    <s v="Estudar 10h de inglês"/>
    <s v="Estudar 10h de inglês"/>
    <x v="0"/>
    <x v="1"/>
    <s v="Refazer duolingo e estudar atavés do TED Talks"/>
    <s v="Duolingo e anotações"/>
  </r>
  <r>
    <x v="0"/>
    <x v="1"/>
    <s v="Fazer pelo menos  2h de meditação no mês"/>
    <s v="Fazer pelo menos  2h de meditação no mês"/>
    <x v="0"/>
    <x v="1"/>
    <s v="Todos os dias meditar após acordar"/>
    <s v="Não há"/>
  </r>
  <r>
    <x v="0"/>
    <x v="1"/>
    <s v="Ganhar 2 kg de massa magra com minimo de gordura possível para mim"/>
    <s v="Ganhar 2 kg de massa magra com minimo de gordura possível para mim"/>
    <x v="0"/>
    <x v="1"/>
    <s v="Através dos treinos diários e alimentação saudável"/>
    <s v="Exame de bioimpedância"/>
  </r>
  <r>
    <x v="1"/>
    <x v="2"/>
    <s v="Fazer declaração de impostos"/>
    <s v="Fazer declaração de impostos"/>
    <x v="0"/>
    <x v="0"/>
    <s v="Baixar software, organizar comprovantes e realizar a declaração"/>
    <s v="Comprovante de declaração"/>
  </r>
  <r>
    <x v="0"/>
    <x v="2"/>
    <s v="Me especializar em investimentos em renda fixa"/>
    <s v="Me especializar em investimentos em renda fixa"/>
    <x v="0"/>
    <x v="0"/>
    <s v="Realizar cursos de finanças 30 min por dia"/>
    <s v="Anotações, acompanhamento do curso"/>
  </r>
  <r>
    <x v="0"/>
    <x v="2"/>
    <s v="Me especializar em investimentos em renda variável"/>
    <s v="Me especializar em investimentos em renda variável"/>
    <x v="0"/>
    <x v="0"/>
    <s v="Realizar cursos de finanças 30 min por dia"/>
    <s v="Anotações, acompanhamento do curso"/>
  </r>
  <r>
    <x v="1"/>
    <x v="2"/>
    <s v="Organizar finanças e definir gastos mensais"/>
    <s v="Organizar finanças e definir gastos mensais"/>
    <x v="0"/>
    <x v="0"/>
    <s v="Organizar gastos mensais fixos, reservar dinheiro para lazer, reservar dinheiro para emergência, baixar aplicativo linkado ao banco para acompanhamentos e organizar em planilha"/>
    <s v="Planilha de gastos e extrato do app"/>
  </r>
  <r>
    <x v="1"/>
    <x v="2"/>
    <s v="Fazer declaração de impostos"/>
    <s v="Fazer declaração de impostos"/>
    <x v="0"/>
    <x v="1"/>
    <s v="Baixar software, organizar comprovantes e realizar a declaração"/>
    <s v="Comprovante de declaração"/>
  </r>
  <r>
    <x v="0"/>
    <x v="2"/>
    <s v="Organizar finanças e definir gastos mensais"/>
    <s v="Organizar finanças e definir gastos mensais"/>
    <x v="0"/>
    <x v="1"/>
    <s v="Organizar gastos mensais fixos, reservar dinheiro para lazer, reservar dinheiro para emergência, baixar aplicativo linkado ao banco para acompanhamentos e organizar em planilha"/>
    <s v="Planilha de gastos e extrato do app"/>
  </r>
  <r>
    <x v="1"/>
    <x v="2"/>
    <s v="Realizar aplicação da reserva de emergência"/>
    <s v="Realizar aplicação da reserva de emergência"/>
    <x v="0"/>
    <x v="1"/>
    <s v="Estudar renda fixa"/>
    <s v="Anotações, acompanhamento do curso"/>
  </r>
  <r>
    <x v="1"/>
    <x v="2"/>
    <s v="Realizar aplicação da reserva de emergência"/>
    <s v="Realizar aplicação da reserva de emergência"/>
    <x v="0"/>
    <x v="1"/>
    <s v="Reservar dinheiro correspondente a 6 meses de custo de vida atual"/>
    <s v="Saldo bancário"/>
  </r>
  <r>
    <x v="1"/>
    <x v="2"/>
    <s v="Realizar aplicação da reserva de emergência"/>
    <s v="Realizar aplicação da reserva de emergência"/>
    <x v="0"/>
    <x v="1"/>
    <s v="Aplicar reserva de emergência"/>
    <s v="Estrato da corretora"/>
  </r>
  <r>
    <x v="1"/>
    <x v="0"/>
    <s v="Me desenvolver como gestor"/>
    <s v="Me desenvolver como gestor"/>
    <x v="1"/>
    <x v="2"/>
    <s v="Participar de programa de aceleração de carreiras da energisa"/>
    <s v="Certificado de participação, material"/>
  </r>
  <r>
    <x v="1"/>
    <x v="1"/>
    <s v="Realizar viagem com meu irmão"/>
    <s v="Realizar viagem com meu irmão"/>
    <x v="1"/>
    <x v="2"/>
    <s v="Programar viagem, juntar dinheiro e viajar"/>
    <s v="Fotos"/>
  </r>
  <r>
    <x v="1"/>
    <x v="2"/>
    <s v="Aplicar reserva de emergência em investimento seguro e com liquidez"/>
    <s v="Aplicar reserva de emergência em investimento seguro e com liquidez"/>
    <x v="1"/>
    <x v="2"/>
    <s v="Estudar investimentos de renda fixa e aplicar 6 meses de custo de vida"/>
    <s v="Extrato da corretora"/>
  </r>
  <r>
    <x v="0"/>
    <x v="2"/>
    <s v="Me especializar em investimentos em renda fixa"/>
    <s v="Me especializar em investimentos em renda fixa"/>
    <x v="1"/>
    <x v="2"/>
    <s v="Realizar cursos de finanças"/>
    <s v="Anotações, acompanhamento do curso"/>
  </r>
  <r>
    <x v="0"/>
    <x v="2"/>
    <s v="Me especializar em investimentos em renda variável"/>
    <s v="Me especializar em investimentos em renda variável"/>
    <x v="1"/>
    <x v="2"/>
    <s v="Realizar cursos de finanças"/>
    <s v="Anotações, acompanhamento do curso"/>
  </r>
  <r>
    <x v="1"/>
    <x v="3"/>
    <s v="Fazer ação de fim de ano"/>
    <s v="Fazer ação de fim de ano"/>
    <x v="1"/>
    <x v="2"/>
    <s v="Organizar ação solidária com amigos no fim do ano (sopãp, doação de agasalho, etc.)"/>
    <s v="Fotos"/>
  </r>
  <r>
    <x v="1"/>
    <x v="0"/>
    <s v="Reconhecimento profissional na área de proteção SEP"/>
    <s v="Desenvolver plano de estudos"/>
    <x v="2"/>
    <x v="3"/>
    <s v="Organizar plano de estudos contemplando os cursos de proteção do Paulo Maezono e de automação da Hotmart"/>
    <s v="Plano de estudos"/>
  </r>
  <r>
    <x v="1"/>
    <x v="0"/>
    <s v="Reconhecimento profissional na área de proteção SEP"/>
    <s v="Desenvolver plano de estudos"/>
    <x v="2"/>
    <x v="3"/>
    <s v="Organizar plano de estudos contemplando estudos dos indicadores de qualidade de energia"/>
    <s v="Plano de estudos"/>
  </r>
  <r>
    <x v="1"/>
    <x v="0"/>
    <s v="Reconhecimento profissional na área de proteção SEP"/>
    <s v="Reativar conta do Linkedin"/>
    <x v="2"/>
    <x v="3"/>
    <s v="Resgatar perfil do linkedin e verificar como funciona"/>
    <s v="Acesso ao site Linkedin"/>
  </r>
  <r>
    <x v="1"/>
    <x v="0"/>
    <s v="Reconhecimento profissional na área de proteção SEP"/>
    <s v="Desenvolver plano de trabalho na EAC"/>
    <x v="2"/>
    <x v="3"/>
    <s v="Organizar pendências e metas para o ano de 2023"/>
    <s v="Plano de trabalho"/>
  </r>
  <r>
    <x v="1"/>
    <x v="1"/>
    <s v="Definir plano de treino (cardio + academia)"/>
    <s v="Definir plano de treino (cardio + academia)"/>
    <x v="2"/>
    <x v="3"/>
    <s v="Montar planilha com plano de treino, envolvendo os exercícios, pesos etc"/>
    <s v="Planolha de treino montada"/>
  </r>
  <r>
    <x v="1"/>
    <x v="1"/>
    <s v="Definir dieta"/>
    <s v="Definir dieta"/>
    <x v="2"/>
    <x v="3"/>
    <s v="Montar dieta considerando os macros para o peso atual, em planilha ou aplicativo"/>
    <s v="Planilha ou aplicativo montado"/>
  </r>
  <r>
    <x v="0"/>
    <x v="1"/>
    <s v="Realizar leitura de 2 capítulos do livro Seja Foda!"/>
    <s v="Realizar leitura de 2 capítulos do livro Seja Foda!"/>
    <x v="2"/>
    <x v="3"/>
    <s v="Reservar tempo para leitura diária"/>
    <s v="Notas de leitura no livro"/>
  </r>
  <r>
    <x v="1"/>
    <x v="1"/>
    <s v="Realizar seguro viagem para viagem a Bolívia"/>
    <s v="Realizar seguro viagem para viagem a Bolívia"/>
    <x v="2"/>
    <x v="3"/>
    <s v="Verificar as condições no site do Visa Infinite e solicitar seguro"/>
    <s v="Documento de seguro viagem"/>
  </r>
  <r>
    <x v="0"/>
    <x v="1"/>
    <s v="Realizar 10 min/dia de meditação"/>
    <s v="Realizar 10 min/dia de meditação"/>
    <x v="2"/>
    <x v="3"/>
    <s v="Definir rotina de meditação e realizar meditação quiada através de aplicativo de meditação "/>
    <s v="Resumo de aplicativo"/>
  </r>
  <r>
    <x v="0"/>
    <x v="1"/>
    <s v="Realizar 2h de estudo dirigido de inglês"/>
    <s v="Realizar 2h de estudo dirigido de inglês"/>
    <x v="2"/>
    <x v="3"/>
    <s v="Refazer duolingo (regras gramaticais e tempos verbais). Através do TED Talks, treinar o listening (palestras), realizar resumo em inglês treinando o writing e o reading com as transcrições"/>
    <s v="Anotações"/>
  </r>
  <r>
    <x v="1"/>
    <x v="2"/>
    <s v="Definir plano de estudos em investimentos"/>
    <s v="Definir plano de estudos em investimentos"/>
    <x v="2"/>
    <x v="3"/>
    <s v="Definir em plano de estudos, definir material de estudos e realizar 1h de estudo dirigido"/>
    <s v="Plano de estudos e anotações"/>
  </r>
  <r>
    <x v="1"/>
    <x v="0"/>
    <s v="Reconhecimento profissional na área de proteção SEP"/>
    <s v="Organizar trabalho"/>
    <x v="3"/>
    <x v="1"/>
    <s v="Definir plano de trabalho, pendências e metas para 2023 e atividades dos liderados"/>
    <s v="Plano de trabalho montado"/>
  </r>
  <r>
    <x v="1"/>
    <x v="0"/>
    <s v="Reconhecimento profissional na área de proteção SEP"/>
    <s v="Organizar trabalho"/>
    <x v="3"/>
    <x v="1"/>
    <s v="Confeccionar BIs de acompanhamento da CPE"/>
    <s v="Bis montados e publicados para empresa"/>
  </r>
  <r>
    <x v="0"/>
    <x v="0"/>
    <s v="Reconhecimento profissional na área de proteção SEP"/>
    <s v="Entender os principais indicadores de qualidade de energia"/>
    <x v="3"/>
    <x v="1"/>
    <s v="Definir em plano de estudos e estudar os idicadores de qualidade de energia através do resultados da área de qualidade do DEOP/EAC"/>
    <s v="Anotações em plano de estudos"/>
  </r>
  <r>
    <x v="0"/>
    <x v="0"/>
    <s v="Reconhecimento profissional na área de proteção SEP"/>
    <s v="Realizar curso de proteção do Paulo Maezono"/>
    <x v="3"/>
    <x v="1"/>
    <s v="Definir em plano de estudos a realização do curso"/>
    <s v="Anotações, acompanhamento do curso"/>
  </r>
  <r>
    <x v="0"/>
    <x v="0"/>
    <s v="Reconhecimento profissional na área de proteção SEP"/>
    <s v="Realizar curso de automação de SEs da Hotmart"/>
    <x v="3"/>
    <x v="1"/>
    <s v="Definir em plano de estudos a realização do curso"/>
    <s v="Certificado"/>
  </r>
  <r>
    <x v="2"/>
    <x v="0"/>
    <s v="Reconhecimento profissional na área de proteção SEP"/>
    <s v="Definir evento para publicações no ano de 2023"/>
    <x v="3"/>
    <x v="1"/>
    <s v="Definir eventos (congressos, seminários etc.) onde é possível publicar"/>
    <s v="Eventos definidos e prazos para entregas de trabalhos"/>
  </r>
  <r>
    <x v="1"/>
    <x v="0"/>
    <s v="Reconhecimento profissional na área de proteção SEP"/>
    <s v="Atualizar perfil no Linkedin"/>
    <x v="3"/>
    <x v="1"/>
    <s v="Revisar perfil Linkedin, coletar informações necessárias, atualizar perfil, conectar a pessoas relevantes"/>
    <s v="Perfil da plataforma atualizado"/>
  </r>
  <r>
    <x v="0"/>
    <x v="1"/>
    <s v="Ler  4 capítulos do livro Seja Foda! De Caio Carneiro"/>
    <s v="Ler  4 capítulos do livro Seja Foda! De Caio Carneiro"/>
    <x v="3"/>
    <x v="1"/>
    <s v="Reservar tempo para leitura diária"/>
    <s v="Notas de leitura no livro"/>
  </r>
  <r>
    <x v="0"/>
    <x v="1"/>
    <s v="Realizar 5h de estudo dirigido de inglês"/>
    <s v="Realizar 5h de estudo dirigido de inglês"/>
    <x v="3"/>
    <x v="1"/>
    <s v="Refazer duolingo (regras gramaticais e tempos verbais). Através do TED Talks, treinar o listening (palestras), realizar resumo em inglês treinando o writing e o reading com as transcrições"/>
    <s v="Curso duolingo finalizado e anotações"/>
  </r>
  <r>
    <x v="1"/>
    <x v="1"/>
    <s v="Definir plano de treino (cardio + academia)"/>
    <s v="Definir plano de treino (cardio + academia)"/>
    <x v="3"/>
    <x v="1"/>
    <s v="Montar planilha com plano de treino, envolvendo os exercícios, pesos etc"/>
    <s v="Planolha de treino montada"/>
  </r>
  <r>
    <x v="1"/>
    <x v="1"/>
    <s v="Definir minha dieta para emagrecimento/ganho de peso"/>
    <s v="Definir minha dieta para emagrecimento/ganho de peso"/>
    <x v="3"/>
    <x v="1"/>
    <s v="Definir dieta diária, com quantidades dos macros, realizar o acompanhamento semanal para identificar se estou ganhando ou perdendo peso (mantendo o ritmo de atividade física) e definir dieta "/>
    <s v="Plano de alimentação montado, acompanhamento do peso semanal"/>
  </r>
  <r>
    <x v="0"/>
    <x v="2"/>
    <s v="Realizar 2h de estudos a respeito de renda fixa"/>
    <s v="Realizar 2h de estudos a respeito de renda fixa"/>
    <x v="3"/>
    <x v="1"/>
    <s v="Definir em plano de estudos, definir material de estudos e realizar estudo dirigido"/>
    <s v="Plano de estudos e anotações"/>
  </r>
  <r>
    <x v="2"/>
    <x v="2"/>
    <s v="Realizar 2 aportes em investimentos, referente aos meses de janeiro e fevereiro"/>
    <s v="Realizar 2 aportes em investimentos, referente aos meses de janeiro e fevereiro"/>
    <x v="3"/>
    <x v="1"/>
    <s v="Estudar os ativos de acordo com as recomendações da INSIDE e realizar aportes"/>
    <s v="Extrato corretora"/>
  </r>
  <r>
    <x v="1"/>
    <x v="3"/>
    <s v="Ajudar pessoa com trabalho de faxina no mês de fevereiro"/>
    <s v="Ajudar pessoa com trabalho de faxina no mês de fevereiro"/>
    <x v="3"/>
    <x v="1"/>
    <s v="Pesquisar pessoa de confiança e convidar para o trabalho"/>
    <s v="Não há"/>
  </r>
  <r>
    <x v="0"/>
    <x v="0"/>
    <s v="Reconhecimento profissional na área de proteção SEP"/>
    <s v="Realizar ao menos 2 publicações em plataforma profissional"/>
    <x v="4"/>
    <x v="2"/>
    <s v="Realizar publicação referente à área de proteção e qualidade de energia em plataforma de alcance profissional (linkedin)"/>
    <s v="Publicações nas plataformas"/>
  </r>
  <r>
    <x v="0"/>
    <x v="0"/>
    <s v="Reconhecimento profissional na área de proteção SEP"/>
    <s v="Me desenvolver tecnicamente em proteção SEP, com foco em AT"/>
    <x v="4"/>
    <x v="2"/>
    <s v="Realizar cursos de proteção, linkando conteúdo com casos reais do trabalho"/>
    <s v="Notas de estudo e anotações nos livros"/>
  </r>
  <r>
    <x v="0"/>
    <x v="0"/>
    <s v="Reconhecimento profissional na área de proteção SEP"/>
    <s v="Me desenvolver tecnicamente em proteção SEP, com foco em AT"/>
    <x v="4"/>
    <x v="2"/>
    <s v="Realizar estudos em análise de sistemas de potência e curto-circuito e aprender a utilizar o ANAREDE"/>
    <s v="Notas de estudo e anotações nos livros"/>
  </r>
  <r>
    <x v="0"/>
    <x v="0"/>
    <s v="Reconhecimento profissional na área de proteção SEP"/>
    <s v="Me desenvolver tecnicamente em proteção SEP, com foco em AT"/>
    <x v="4"/>
    <x v="2"/>
    <s v="Aprender sobre controle de tensão e aprender a parametizar reguladores de tensão"/>
    <s v="Notas de estudo e anotações nos livros"/>
  </r>
  <r>
    <x v="0"/>
    <x v="0"/>
    <s v="Reconhecimento profissional na área de proteção SEP"/>
    <s v="Me desenvolver tecnicamente em proteção SEP, com foco em AT"/>
    <x v="4"/>
    <x v="2"/>
    <s v="Aprender sobre automação de subestações e aplicação da IEC61850"/>
    <s v="Notas de estudo e anotações nos livros"/>
  </r>
  <r>
    <x v="0"/>
    <x v="0"/>
    <s v="Reconhecimento profissional na área de proteção SEP"/>
    <s v="Me desenvolver tecnicamente em proteção SEP, com foco em AT"/>
    <x v="4"/>
    <x v="2"/>
    <s v="Participar do TAF de uma SE em contrução na Energisa Acre"/>
    <s v="Notas de estudo e anotações nos unifilares e funcionais"/>
  </r>
  <r>
    <x v="0"/>
    <x v="0"/>
    <s v="Reconhecimento profissional na área de proteção SEP"/>
    <s v="Me desenvolver tecnicamente em proteção SEP, com foco em AT"/>
    <x v="4"/>
    <x v="2"/>
    <s v="Participar do TAC de uma SE em contrução na Energisa Acre"/>
    <s v="Notas de estudo e anotações nos unifilares e funcionais"/>
  </r>
  <r>
    <x v="0"/>
    <x v="0"/>
    <s v="Reconhecimento profissional na área de proteção SEP"/>
    <s v="Me desenvolver tecnicamente no negócio de distribuição de energia"/>
    <x v="4"/>
    <x v="2"/>
    <s v="Estudar os principais indicadores de qualidade de energia e linkar com vivência prática"/>
    <s v="Notas de estudo e anotações nos livros"/>
  </r>
  <r>
    <x v="0"/>
    <x v="0"/>
    <s v="Reconhecimento profissional na área de proteção SEP"/>
    <s v="Me desenvolver tecnicamente no negócio de distribuição de energia"/>
    <x v="4"/>
    <x v="2"/>
    <s v="Estudar os principais indicadores do DEOP e linkar com trabalho identificando oportunidades"/>
    <s v="Notas de estudo e anotações nos livros"/>
  </r>
  <r>
    <x v="0"/>
    <x v="0"/>
    <s v="Reconhecimento profissional na área de proteção SEP"/>
    <s v="Me desenvolver tecnicamente no negócio de distribuição de energia"/>
    <x v="4"/>
    <x v="2"/>
    <s v="Estudar os principais indicadores da empresa e entender como impactam no negócio"/>
    <s v="Notas de estudo e anotações nos livros"/>
  </r>
  <r>
    <x v="0"/>
    <x v="0"/>
    <s v="Reconhecimento profissional na área de proteção SEP"/>
    <s v="Me desenvolver tecnicamente no negócio de distribuição de energia"/>
    <x v="4"/>
    <x v="2"/>
    <s v="Estudar os procedimentos de segurança nos serviços de campo"/>
    <s v="Notas de estudo e anotações nos livros"/>
  </r>
  <r>
    <x v="2"/>
    <x v="1"/>
    <s v="Saltar de paraquedas"/>
    <s v="Saltar de paraquedas"/>
    <x v="4"/>
    <x v="2"/>
    <s v="Programar e realizar salto"/>
    <s v="Fotos"/>
  </r>
  <r>
    <x v="0"/>
    <x v="1"/>
    <s v="Alcançar os 79 kg com BF de, no máximo, 18%"/>
    <s v="Alcançar os 79 kg com BF de, no máximo, 18%"/>
    <x v="4"/>
    <x v="2"/>
    <s v="Treinos diários de cadio e hipertrofia"/>
    <s v="Exame de bioimpedância"/>
  </r>
  <r>
    <x v="0"/>
    <x v="1"/>
    <s v="Participar de corrida de 5km e finalizar competição"/>
    <s v="Participar de corrida de 5km e finalizar competição"/>
    <x v="4"/>
    <x v="2"/>
    <s v="Treinos diários de cadio e hipertrofia"/>
    <s v="Medalha da competição"/>
  </r>
  <r>
    <x v="0"/>
    <x v="2"/>
    <s v="Me expor a economia internacional em pelo menos 10% do meu patrimônio"/>
    <s v="Me expor a economia internacional em pelo menos 10% do meu patrimônio"/>
    <x v="4"/>
    <x v="2"/>
    <s v="Realizar aplicação em ativos da bolsa estrangeira"/>
    <s v="Extrato da corretora"/>
  </r>
  <r>
    <x v="3"/>
    <x v="0"/>
    <s v="Reconhecimento profissional na área de proteção SEP"/>
    <s v="Me desenvolver tecnicamente em proteção SEP, com foco em AT"/>
    <x v="5"/>
    <x v="4"/>
    <s v="Realizar curso ANAREDE e linkar com casos práticos"/>
    <s v="Anotações em plano de estudos"/>
  </r>
  <r>
    <x v="3"/>
    <x v="1"/>
    <s v="Crescimento pessoal"/>
    <s v="Atualizar plano de estudos"/>
    <x v="5"/>
    <x v="3"/>
    <s v="Organizar plano de estudos contemplando os cursos de proteção do Paulo Maezono, de automação da Hotmart, rotina de desenvolvimento financeiro e profissional"/>
    <s v="Plano de estudos"/>
  </r>
  <r>
    <x v="3"/>
    <x v="1"/>
    <s v="Ter saúde física e mental"/>
    <s v="Definir dieta"/>
    <x v="5"/>
    <x v="3"/>
    <s v="Montar dieta no app growth considerando os macros para o peso atual, com meta de emagrecimento para 15 Dez/23"/>
    <s v="Planilha ou aplicativo montado"/>
  </r>
  <r>
    <x v="3"/>
    <x v="1"/>
    <s v="Crescimento pessoal"/>
    <s v="Realizar leitura de 4 capítulos do livro Seja Foda!"/>
    <x v="5"/>
    <x v="3"/>
    <s v="Reservar tempo para leitura diária"/>
    <s v="Notas de leitura no livro"/>
  </r>
  <r>
    <x v="3"/>
    <x v="1"/>
    <s v="Ter saúde física e mental"/>
    <s v="Realizar 10 min/dia de meditação"/>
    <x v="5"/>
    <x v="3"/>
    <s v="Definir rotina de meditação e realizar meditação quiada através de aplicativo de meditação "/>
    <s v="Resumo de aplicativo"/>
  </r>
  <r>
    <x v="3"/>
    <x v="1"/>
    <s v="Crescimento pessoal"/>
    <s v="Realizar 2h de estudo dirigido de inglês"/>
    <x v="5"/>
    <x v="3"/>
    <s v="Refazer duolingo (regras gramaticais e tempos verbais). Através do TED Talks, treinar o listening (palestras), realizar resumo em inglês treinando o writing e o reading com as transcrições"/>
    <s v="Anotações"/>
  </r>
  <r>
    <x v="3"/>
    <x v="1"/>
    <s v="Crescimento pessoal"/>
    <s v="Desenvolver o hábito de acompanhar notícias"/>
    <x v="5"/>
    <x v="3"/>
    <s v="Assistir jornais, acompanhar notícias em mídias sociais realmente sem deixar para depois"/>
    <s v="Não há"/>
  </r>
  <r>
    <x v="3"/>
    <x v="1"/>
    <s v="Crescimento pessoal"/>
    <s v="Desenvolver o hábito de acompanhar notícias"/>
    <x v="5"/>
    <x v="1"/>
    <s v="Assistir jornais, acompanhar notícias em mídias sociais realmente sem deixar para depois"/>
    <s v="Não há"/>
  </r>
  <r>
    <x v="3"/>
    <x v="1"/>
    <s v="Ter saúde física e mental"/>
    <s v="Desenvolver uma rotina saudável para cuidados pessoais: corpo, mente e espírito"/>
    <x v="5"/>
    <x v="1"/>
    <s v="Através de hábitos saudáveis"/>
    <s v="Exames clínicos"/>
  </r>
  <r>
    <x v="3"/>
    <x v="2"/>
    <s v="Ter renda passiva de R$ 4.000,00 ao mês"/>
    <s v="Definir plano de estudos em investimentos em renda fixa"/>
    <x v="6"/>
    <x v="3"/>
    <s v="Definir em plano de estudos, definir material de estudos e realizar 1h de estudo dirigido"/>
    <s v="Plano de estudos e anotações"/>
  </r>
  <r>
    <x v="3"/>
    <x v="2"/>
    <s v="Ter patrimônio líquido de R$ 800.000,00"/>
    <s v="Organizar finanças"/>
    <x v="6"/>
    <x v="3"/>
    <s v="Organizar planilha de controle financeiro"/>
    <s v="Planilha de controle atualizada atualizada"/>
  </r>
  <r>
    <x v="3"/>
    <x v="2"/>
    <s v="Ter patrimônio líquido de R$ 800.000,00"/>
    <s v="Organizar finanças"/>
    <x v="6"/>
    <x v="1"/>
    <s v="Organizar planilha de controle financeiro"/>
    <s v="Planilha de controle atualizada atualizada"/>
  </r>
  <r>
    <x v="3"/>
    <x v="2"/>
    <s v="Ter renda passiva de R$ 4.000,00 ao mês"/>
    <s v="Realizar 2h de estudos a respeito de renda fixa"/>
    <x v="7"/>
    <x v="3"/>
    <s v="Definir em plano de estudos, definir material de estudos e realizar estudo dirigido"/>
    <s v="Plano de estudos e anotações"/>
  </r>
  <r>
    <x v="3"/>
    <x v="0"/>
    <s v="Reconhecimento profissional na área de proteção SEP"/>
    <s v="Organizar trabalho"/>
    <x v="7"/>
    <x v="1"/>
    <s v="Atualizar BIs de acompanhamento da CPE e finalizar pendências"/>
    <s v="BIs montados e publicados para empresa"/>
  </r>
  <r>
    <x v="3"/>
    <x v="0"/>
    <s v="Reconhecimento profissional na área de proteção SEP"/>
    <s v="Organizar trabalho"/>
    <x v="7"/>
    <x v="1"/>
    <s v="Atualizar base de proteção da distribuição - Delegar, orientar e estabelecer prazos"/>
    <s v="Plano de ação montando"/>
  </r>
  <r>
    <x v="3"/>
    <x v="0"/>
    <s v="Reconhecimento profissional na área de proteção SEP"/>
    <s v="Organizar trabalho"/>
    <x v="7"/>
    <x v="1"/>
    <s v="Atualizar base de proteção da transmissão ANAFAS e OneLiner"/>
    <s v="Bases atualizadas"/>
  </r>
  <r>
    <x v="3"/>
    <x v="0"/>
    <s v="Reconhecimento profissional na área de proteção SEP"/>
    <s v="Organizar trabalho"/>
    <x v="7"/>
    <x v="1"/>
    <s v="Realizar cronograma de estudos de proteção das novas obras"/>
    <s v="Plano de ação montando"/>
  </r>
  <r>
    <x v="3"/>
    <x v="0"/>
    <s v="Reconhecimento profissional na área de proteção SEP"/>
    <s v="Organizar trabalho"/>
    <x v="7"/>
    <x v="1"/>
    <s v="Organizar databooks das SEs contemplando as novas SEs"/>
    <s v="Databook atualizado"/>
  </r>
  <r>
    <x v="3"/>
    <x v="0"/>
    <s v="Reconhecimento profissional como gestor"/>
    <s v="Organizar conteúdo do MBA e rotina de estudos"/>
    <x v="7"/>
    <x v="1"/>
    <s v="Organizar em plano de estudos"/>
    <s v="Plano de estudos organizado"/>
  </r>
  <r>
    <x v="3"/>
    <x v="2"/>
    <s v="Ter renda passiva de R$ 4.000,00 ao mês"/>
    <s v="Realizar 2h de estudos a respeito de renda fixa"/>
    <x v="7"/>
    <x v="1"/>
    <s v="Definir em plano de estudos, definir material de estudos e realizar estudo dirigido"/>
    <s v="Plano de estudos e anotações"/>
  </r>
  <r>
    <x v="3"/>
    <x v="3"/>
    <s v="Ajudar a construir um mundo melhor/fazer a diferença neste mundo através do exemplo"/>
    <s v="Ajudar pessoa com trabalho de faxina no mês de outubro"/>
    <x v="7"/>
    <x v="1"/>
    <s v="Pesquisar pessoa de confiança e convidar para o trabalho"/>
    <s v="Não há"/>
  </r>
  <r>
    <x v="3"/>
    <x v="0"/>
    <s v="Reconhecimento profissional na área de proteção SEP"/>
    <s v="Finalizar estudos de proteção da SE TAN e passar ordens de ajustes para TAF"/>
    <x v="8"/>
    <x v="0"/>
    <s v="Desenvolver estudos após atualização das bases de proteção AT da EAC"/>
    <s v="Relatórios de estudos desenvolvidos"/>
  </r>
  <r>
    <x v="3"/>
    <x v="0"/>
    <s v="Reconhecimento profissional na área de proteção SEP"/>
    <s v="Entender os principais indicadores de qualidade de energia"/>
    <x v="8"/>
    <x v="5"/>
    <s v="Definir em plano de estudos e estudar os idicadores de qualidade de energia através do resultados da área de qualidade do DEOP/EAC"/>
    <s v="Anotações em plano de estudos"/>
  </r>
  <r>
    <x v="3"/>
    <x v="0"/>
    <s v="Reconhecimento profissional na área de proteção SEP"/>
    <s v="Realizar curso de proteção do IOSE"/>
    <x v="8"/>
    <x v="5"/>
    <s v="Definir em plano de estudos a realização do curso"/>
    <s v="Certificado"/>
  </r>
  <r>
    <x v="3"/>
    <x v="0"/>
    <s v="Reconhecimento profissional na área de proteção SEP"/>
    <s v="Realizar curso de proteção do Paulo Maezono"/>
    <x v="9"/>
    <x v="3"/>
    <s v="Definir em plano de estudos a realização do curso"/>
    <s v="Anotações, acompanhamento do curso"/>
  </r>
  <r>
    <x v="3"/>
    <x v="0"/>
    <s v="Reconhecimento profissional na área de proteção SEP"/>
    <s v="Me desenvolver tecnicamente em proteção SEP, com foco em AT"/>
    <x v="10"/>
    <x v="1"/>
    <s v="Acompanhar TAF da SE TAN"/>
    <s v="Relatórios de TAF"/>
  </r>
  <r>
    <x v="3"/>
    <x v="0"/>
    <s v="Reconhecimento profissional na área de proteção SEP"/>
    <s v="Me desenvolver tecnicamente no negócio de distribuição de energia"/>
    <x v="10"/>
    <x v="1"/>
    <s v="Estudar sobre a RN 1000 e os processos de entrada de consumidores (projetos de cabines de entrada)"/>
    <s v="Notas de estudo e anotações nos livros"/>
  </r>
  <r>
    <x v="3"/>
    <x v="0"/>
    <s v="Reconhecimento profissional na área de proteção SEP"/>
    <s v="Me desenvolver tecnicamente no negócio de distribuição de energia"/>
    <x v="10"/>
    <x v="1"/>
    <s v="Estudar os principais indicadores de qualidade de energia e linkar com vivência prática"/>
    <s v="Notas de estudo e anotações nos livros"/>
  </r>
  <r>
    <x v="3"/>
    <x v="0"/>
    <s v="Reconhecimento profissional na área de proteção SEP"/>
    <s v="Me desenvolver tecnicamente em proteção SEP, com foco em AT"/>
    <x v="10"/>
    <x v="1"/>
    <s v="Realizar estudos de transitorios eletromagnéticos e aprender a utilizar o ANATEM"/>
    <s v="Notas de estudo e anotações nos livros"/>
  </r>
  <r>
    <x v="3"/>
    <x v="0"/>
    <s v="Reconhecimento profissional na área de proteção SEP"/>
    <s v="Me desenvolver tecnicamente em proteção SEP, com foco em AT"/>
    <x v="10"/>
    <x v="1"/>
    <s v="Realizar cursos de proteção, linkando conteúdo com casos reais do trabalho"/>
    <s v="Notas de estudo e anotações nos livros"/>
  </r>
  <r>
    <x v="3"/>
    <x v="1"/>
    <s v="Crescimento pessoal"/>
    <s v="Finalizar leitura do livro Seja FODA!"/>
    <x v="10"/>
    <x v="1"/>
    <s v="Reservar tempo para leitura diária"/>
    <s v="Notas de leitura no livro"/>
  </r>
  <r>
    <x v="3"/>
    <x v="1"/>
    <s v="Crescimento pessoal"/>
    <s v="Realizar 5h de estudo dirigido de inglês"/>
    <x v="10"/>
    <x v="1"/>
    <s v="Refazer duolingo (regras gramaticais e tempos verbais). Através do TED Talks, treinar o listening (palestras), realizar resumo em inglês treinando o writing e o reading com as transcrições"/>
    <s v="Curso duolingo finalizado e anotações"/>
  </r>
  <r>
    <x v="3"/>
    <x v="1"/>
    <s v="Ter saúde física e mental"/>
    <s v="Desenvolver uma rotina saudável para cuidados pessoais: corpo, mente e espírito"/>
    <x v="10"/>
    <x v="1"/>
    <s v="Através de hábitos saudáveis"/>
    <s v="Exames clínicos"/>
  </r>
  <r>
    <x v="3"/>
    <x v="1"/>
    <s v="Crescimento pessoal"/>
    <s v="Desenvolver o hábito de acompanhar notícias"/>
    <x v="10"/>
    <x v="1"/>
    <s v="Assistir jornais, acompanhar notícias em mídias sociais realmente sem deixar para depois"/>
    <s v="Não há"/>
  </r>
  <r>
    <x v="3"/>
    <x v="2"/>
    <s v="Ter renda passiva de R$ 4.000,00 ao mês"/>
    <s v="Atualizar investimentos de forma a não ter nada parado em CC"/>
    <x v="10"/>
    <x v="1"/>
    <s v="Estudar os ativos de acordo com as recomendações da INSIDE e realizar aportes"/>
    <s v="Extrato corretora"/>
  </r>
  <r>
    <x v="3"/>
    <x v="2"/>
    <s v="Ter renda passiva de R$ 4.000,00 ao mês"/>
    <s v="Realizar 4h de estudos a respeito de renda fixa"/>
    <x v="10"/>
    <x v="1"/>
    <s v="Definir em plano de estudos, definir material de estudos e realizar estudo dirigido"/>
    <s v="Plano de estudos e anotações"/>
  </r>
  <r>
    <x v="2"/>
    <x v="0"/>
    <s v="Reconhecimento profissional na área de proteção SEP"/>
    <s v="Publicar um artigo científico na área de proteção"/>
    <x v="11"/>
    <x v="2"/>
    <s v="Desenvolver artigo científico sobre tema relevante da proteção da distribuição, utilizando resultados práticos do trabalho, e publicar em congresso"/>
    <s v="Publicação e nome em congresso"/>
  </r>
  <r>
    <x v="2"/>
    <x v="0"/>
    <s v="Reconhecimento profissional na área de proteção SEP"/>
    <s v="Publicar um artigo científico na área de proteção"/>
    <x v="11"/>
    <x v="2"/>
    <s v="Analisar qual assunto pode ser desenvolvido a partir dos resultados atuais do trabalho"/>
    <s v="Publicação e nome em congresso"/>
  </r>
  <r>
    <x v="2"/>
    <x v="0"/>
    <s v="Reconhecimento profissional na área de proteção SEP"/>
    <s v="Me desenvolver tecnicamente em proteção SEP, com foco em AT"/>
    <x v="11"/>
    <x v="2"/>
    <s v="Realizar estudos de transitorios eletromagnéticos e aprender a utilizar o ANATEM ou o One-liner"/>
    <s v="Notas de estudo e anotações nos livros"/>
  </r>
  <r>
    <x v="2"/>
    <x v="0"/>
    <s v="Reconhecimento profissional na área de proteção SEP"/>
    <s v="Me desenvolver tecnicamente em proteção SEP, com foco em AT"/>
    <x v="11"/>
    <x v="2"/>
    <s v="Estudar sobre os padrões contrutivos de uma SE, incluindo arquitetura de serviços auxiliares, comando e redes"/>
    <s v="Notas de estudo e anotações nos unifilares e funcionais"/>
  </r>
  <r>
    <x v="2"/>
    <x v="0"/>
    <s v="Reconhecimento profissional como gestor"/>
    <s v="Me desenvolver como gestor"/>
    <x v="11"/>
    <x v="2"/>
    <s v="Através de  cursos grátis sobre gestão e ferramentas de alta performance"/>
    <s v="Notas de estudo e anotações nos livros"/>
  </r>
  <r>
    <x v="2"/>
    <x v="0"/>
    <s v="Reconhecimento profissional como gestor"/>
    <s v="Me desenvolver como gestor"/>
    <x v="11"/>
    <x v="2"/>
    <s v="Rever conteúdo do PAC ao menos 3 vezes no ano"/>
    <s v="Notas de estudo e anotações nos livros"/>
  </r>
  <r>
    <x v="2"/>
    <x v="1"/>
    <s v="Ler ao menos 5 livros sobre temas não técnicos"/>
    <s v="Ler ao menos 5 livros sobre temas não técnicos"/>
    <x v="11"/>
    <x v="2"/>
    <s v="Comprar livros e ler 1 a cada 3 meses"/>
    <s v="Livros marcados com anotações e resenha dos livros"/>
  </r>
  <r>
    <x v="2"/>
    <x v="1"/>
    <s v="Desenvolver duas novas habilidades"/>
    <s v="Desenvolver duas novas habilidades"/>
    <x v="11"/>
    <x v="2"/>
    <s v="Através de curso online ou presencial a definir"/>
    <s v="Certificado"/>
  </r>
  <r>
    <x v="2"/>
    <x v="2"/>
    <s v="Me especializar em investimentos em renda fixa"/>
    <s v="Me especializar em investimentos em renda fixa"/>
    <x v="11"/>
    <x v="2"/>
    <s v="Realizar cursos de finanças"/>
    <s v="Anotações, acompanhamento do curso"/>
  </r>
  <r>
    <x v="2"/>
    <x v="2"/>
    <s v="Ter outra fonte de renda ativa ou passiva além da Energisa, que me permita cobrir metade dos gastos mensais (~1,5 k)"/>
    <s v="Ter outra fonte de renda ativa ou passiva além da Energisa, que me permita cobrir metade dos gastos mensais (~1,5 k)"/>
    <x v="11"/>
    <x v="2"/>
    <s v="Abrir negócio fora da área da engenharia que me permita ter outra fonte de renda, investir para obter renda passiva"/>
    <s v="Extrato do banco"/>
  </r>
  <r>
    <x v="2"/>
    <x v="2"/>
    <s v="Me especializar em investimentos em renda variável"/>
    <s v="Me especializar em investimentos em renda variável"/>
    <x v="11"/>
    <x v="2"/>
    <s v="Realizar cursos de finanças"/>
    <s v="Anotações, acompanhamento do curso"/>
  </r>
  <r>
    <x v="3"/>
    <x v="0"/>
    <s v="Reconhecimento profissional na área de proteção SEP"/>
    <s v="Me desenvolver tecnicamente em proteção SEP, com foco em AT"/>
    <x v="12"/>
    <x v="1"/>
    <s v="Estudar sobre linhas de transmissão (padrões construtivos e parâmetros elétricos)"/>
    <s v="Notas de estudo e anotações nos unifilares e funcionais"/>
  </r>
  <r>
    <x v="3"/>
    <x v="1"/>
    <s v="Crescimento pessoal"/>
    <s v="Ler ao menos 3 livros sobre temas não técnicos"/>
    <x v="13"/>
    <x v="2"/>
    <s v="Comprar livros e ler 1 a cada 3 meses"/>
    <s v="Livros marcados com anotações e resenha dos livros"/>
  </r>
  <r>
    <x v="3"/>
    <x v="0"/>
    <s v="Cursar doutorado"/>
    <s v="Início doutorado"/>
    <x v="13"/>
    <x v="1"/>
    <s v="Filtrar as universidades por nível do curso de doutorado e quais possuem possibilidade de desenvolvimento tipo sanduíche"/>
    <s v="Lista de universidades e programas de doutorado organizadas em pasta "/>
  </r>
  <r>
    <x v="3"/>
    <x v="0"/>
    <s v="Reconhecimento profissional como gestor"/>
    <s v="Me desenvolver como gestor"/>
    <x v="13"/>
    <x v="1"/>
    <s v="Realizar cursos da plataforma da energisa: normas trabalhistas"/>
    <s v="Notas de estudo e anotações nos livros"/>
  </r>
  <r>
    <x v="3"/>
    <x v="0"/>
    <s v="Reconhecimento profissional na área de proteção SEP"/>
    <s v="Me desenvolver tecnicamente no negócio de distribuição de energia"/>
    <x v="13"/>
    <x v="1"/>
    <s v="Estudar os principais indicadores do DEOP e linkar com trabalho identificando oportunidades"/>
    <s v="Notas de estudo e anotações nos livros"/>
  </r>
  <r>
    <x v="3"/>
    <x v="0"/>
    <s v="Reconhecimento profissional na área de proteção SEP"/>
    <s v="Me desenvolver tecnicamente no negócio de distribuição de energia"/>
    <x v="13"/>
    <x v="1"/>
    <s v="Estudar os procedimentos de segurança nos serviços de campo"/>
    <s v="Notas de estudo e anotações nos livros"/>
  </r>
  <r>
    <x v="3"/>
    <x v="0"/>
    <s v="Reconhecimento profissional na área de proteção SEP"/>
    <s v="Publicar 1º artigo científico na área de proteção"/>
    <x v="13"/>
    <x v="1"/>
    <s v="Definir eventos de 2024 (congressos, seminários etc.) onde é possível publicar (verificar CIDE - Congresso de Inovação na Distribuição de Energia Elétrica)"/>
    <s v="Eventos definidos e prazos para entregas de trabalhos"/>
  </r>
  <r>
    <x v="3"/>
    <x v="1"/>
    <s v="Crescimento pessoal"/>
    <s v="Desenvolver o hábito de acompanhar notícias"/>
    <x v="13"/>
    <x v="2"/>
    <s v="Assistir jornais, acompanhar notícias em mídias sociais realmente sem deixar para depois"/>
    <s v="Não há"/>
  </r>
  <r>
    <x v="3"/>
    <x v="1"/>
    <s v="Realização pessoal"/>
    <s v="Alcançar os 75 kg com BF de, no máximo, 18%"/>
    <x v="13"/>
    <x v="2"/>
    <s v="Treinos diários de cadio e hipertrofia"/>
    <s v="Exame de bioimpedância"/>
  </r>
  <r>
    <x v="3"/>
    <x v="1"/>
    <s v="Ter saúde física e mental"/>
    <s v="Participar de corrida de 5km e finalizar competição"/>
    <x v="13"/>
    <x v="2"/>
    <s v="Treinos diários de cadio e hipertrofia"/>
    <s v="Medalha da competição"/>
  </r>
  <r>
    <x v="3"/>
    <x v="2"/>
    <s v="Ter renda passiva de R$ 4.000,00 ao mês"/>
    <s v="Me expor a economia internacional em pelo menos 10% do meu patrimônio"/>
    <x v="13"/>
    <x v="2"/>
    <s v="Identificar viabilidade e realizar aporte"/>
    <s v="Extrato da corretora"/>
  </r>
  <r>
    <x v="3"/>
    <x v="3"/>
    <s v="Ajudar a construir um mundo melhor/fazer a diferença neste mundo através do exemplo"/>
    <s v="Ajudar 6 famílias"/>
    <x v="13"/>
    <x v="2"/>
    <s v="Doar cestas basicas a cada dois meses e para famílias diferetes ou ajudar com trabalho"/>
    <s v="Não há"/>
  </r>
  <r>
    <x v="3"/>
    <x v="3"/>
    <s v="Ajudar a construir um mundo melhor/fazer a diferença neste mundo através do exemplo"/>
    <s v="Fazer ação de fim de ano"/>
    <x v="13"/>
    <x v="2"/>
    <s v="Organizar ação solidária com amigos no fim do ano (sopãp, doação de agasalho, etc.)"/>
    <s v="Fotos"/>
  </r>
  <r>
    <x v="3"/>
    <x v="1"/>
    <s v="Crescimento pessoal"/>
    <s v="Realizar 5h de estudo dirigido de inglês"/>
    <x v="13"/>
    <x v="1"/>
    <s v="Refazer duolingo (regras gramaticais e tempos verbais). Através do TED Talks, treinar o listening (palestras), realizar resumo em inglês treinando o writing e o reading com as transcrições"/>
    <s v="Curso duolingo finalizado e anotações"/>
  </r>
  <r>
    <x v="3"/>
    <x v="2"/>
    <s v="Ter renda passiva de R$ 4.000,00 ao mês"/>
    <s v="Realizar 4h de estudos a respeito de renda fixa"/>
    <x v="13"/>
    <x v="1"/>
    <s v="Definir em plano de estudos, definir material de estudos e realizar estudo dirigido"/>
    <s v="Plano de estudos e anotações"/>
  </r>
  <r>
    <x v="3"/>
    <x v="1"/>
    <s v="Realização pessoal"/>
    <s v="Comprar uma casa para meus pais"/>
    <x v="13"/>
    <x v="2"/>
    <s v="Entrar em contato com corretores, definir imóvel, definir data de ida e realizar compra"/>
    <s v="Imóvel no meu nome"/>
  </r>
  <r>
    <x v="3"/>
    <x v="0"/>
    <s v="Reconhecimento profissional na área de proteção SEP"/>
    <s v="Me desenvolver tecnicamente em proteção SEP, com foco em AT"/>
    <x v="14"/>
    <x v="1"/>
    <s v="Realizar curso de automação de SEs da Hotmart"/>
    <s v="Certificado"/>
  </r>
  <r>
    <x v="3"/>
    <x v="0"/>
    <s v="Reconhecimento profissional na área de proteção SEP"/>
    <s v="Me desenvolver tecnicamente em proteção SEP, com foco em AT"/>
    <x v="15"/>
    <x v="2"/>
    <s v="Revisar estudos de proteção das SEs e linhas e aprender a utilizar o One-liner"/>
    <s v="Notas de estudo e anotações nos livros"/>
  </r>
  <r>
    <x v="3"/>
    <x v="0"/>
    <s v="Reconhecimento profissional na área de proteção SEP"/>
    <s v="Me desenvolver tecnicamente em proteção SEP, com foco em AT"/>
    <x v="16"/>
    <x v="1"/>
    <s v="Realizar curso de ATP"/>
    <s v="Anotações em plano de estudos"/>
  </r>
  <r>
    <x v="3"/>
    <x v="0"/>
    <s v="Reconhecimento profissional na área de proteção SEP"/>
    <s v="Me desenvolver tecnicamente no negócio de distribuição de energia"/>
    <x v="16"/>
    <x v="1"/>
    <s v="Estudar os principais indicadores da empresa e entender como impactam no negócio"/>
    <s v="Notas de estudo e anotações nos livros"/>
  </r>
  <r>
    <x v="3"/>
    <x v="0"/>
    <s v="Reconhecimento profissional na área de proteção SEP"/>
    <s v="Realizar ao menos 2 publicações em plataforma profissional"/>
    <x v="16"/>
    <x v="1"/>
    <s v="Realizar publicação referente à área de proteção e qualidade de energia em plataforma de alcance profissional (linkedin)"/>
    <s v="Publicações nas plataformas"/>
  </r>
  <r>
    <x v="3"/>
    <x v="0"/>
    <s v="Reconhecimento profissional na área de proteção SEP"/>
    <s v="Me desenvolver tecnicamente em proteção SEP, com foco em AT"/>
    <x v="16"/>
    <x v="1"/>
    <s v="Aprender sobre controle de tensão e aprender a parametizar reguladores de tensão"/>
    <s v="Notas de estudo e anotações nos livros"/>
  </r>
  <r>
    <x v="3"/>
    <x v="1"/>
    <s v="Crescimento pessoal"/>
    <s v="Realizar 5h de estudo dirigido de inglês"/>
    <x v="16"/>
    <x v="1"/>
    <s v="Refazer duolingo (regras gramaticais e tempos verbais). Através do TED Talks, treinar o listening (palestras), realizar resumo em inglês treinando o writing e o reading com as transcrições"/>
    <s v="Curso duolingo finalizado e anotações"/>
  </r>
  <r>
    <x v="3"/>
    <x v="2"/>
    <s v="Ter renda passiva de R$ 4.000,00 ao mês"/>
    <s v="Realizar 4h de estudos a respeito de renda fixa"/>
    <x v="16"/>
    <x v="1"/>
    <s v="Definir em plano de estudos, definir material de estudos e realizar estudo dirigido"/>
    <s v="Plano de estudos e anotações"/>
  </r>
  <r>
    <x v="3"/>
    <x v="1"/>
    <s v="Realização pessoal"/>
    <s v="Comprar uma casa para meus pais"/>
    <x v="16"/>
    <x v="2"/>
    <s v="Entrar em contato com corretores, definir imóvel, definir data de ida e realizar compra"/>
    <s v="Imóvel no meu nome"/>
  </r>
  <r>
    <x v="3"/>
    <x v="1"/>
    <s v="Realização pessoal"/>
    <s v="Alcançar nível C1 em prova de proficiência de inglês"/>
    <x v="17"/>
    <x v="2"/>
    <s v="Realizar prova de proficiência"/>
    <s v="Resultado da prova de proficiência"/>
  </r>
  <r>
    <x v="3"/>
    <x v="0"/>
    <s v="Reconhecimento profissional na área de proteção SEP"/>
    <s v="Me desenvolver tecnicamente no negócio de distribuição de energia"/>
    <x v="17"/>
    <x v="1"/>
    <s v="Estudar sobre costrução de redes de distribuição e seus padrões"/>
    <s v="Notas de estudo e anotações nos livros"/>
  </r>
  <r>
    <x v="3"/>
    <x v="0"/>
    <s v="Reconhecimento profissional na área de proteção SEP"/>
    <s v="Me desenvolver tecnicamente em proteção SEP, com foco em AT"/>
    <x v="17"/>
    <x v="1"/>
    <s v="Estudar sobre os padrões contrutivos de uma SE, incluindo arquitetura de serviços auxiliares, comando e redes"/>
    <s v="Notas de estudo e anotações nos unifilares e funcionais"/>
  </r>
  <r>
    <x v="3"/>
    <x v="1"/>
    <s v="Ter saúde física e mental"/>
    <s v="Desenvolver uma rotina saudável para cuidados pessoais: corpo, mente e espírito"/>
    <x v="17"/>
    <x v="1"/>
    <s v="Através de hábitos saudáveis"/>
    <s v="Exames clínicos"/>
  </r>
  <r>
    <x v="3"/>
    <x v="2"/>
    <s v="Ter renda passiva de R$ 4.000,00 ao mês"/>
    <s v="Me especializar em investimentos em renda fixa"/>
    <x v="17"/>
    <x v="2"/>
    <s v="Realizar cursos de finanças"/>
    <s v="Anotações, acompanhamento do curso"/>
  </r>
  <r>
    <x v="3"/>
    <x v="0"/>
    <s v="Reconhecimento profissional na área de proteção SEP"/>
    <s v="Me desenvolver tecnicamente em proteção SEP, com foco em AT"/>
    <x v="17"/>
    <x v="2"/>
    <s v="Revisar estudos de proteção das SEs e linhas e aprender a utilizar o One-liner"/>
    <s v="Notas de estudo e anotações nos livros"/>
  </r>
  <r>
    <x v="3"/>
    <x v="1"/>
    <s v="Realização pessoal"/>
    <s v="Comprar uma casa para meus pais"/>
    <x v="17"/>
    <x v="2"/>
    <s v="Entrar em contato com corretores, definir imóvel, definir data de ida e realizar compra"/>
    <s v="Imóvel no meu nome"/>
  </r>
  <r>
    <x v="3"/>
    <x v="0"/>
    <s v="Reconhecimento profissional na área de proteção SEP"/>
    <s v="Me desenvolver tecnicamente no negócio de distribuição de energia"/>
    <x v="18"/>
    <x v="2"/>
    <s v="Dominar os principais conceitos que norteiam o negócio de distribuição de energia: indicadores de qualidade e seus impactos para o negócio, visão sistêmica do negócio, transição energética"/>
    <s v="Notas de estudo e anotações nos livros"/>
  </r>
  <r>
    <x v="3"/>
    <x v="0"/>
    <s v="Reconhecimento profissional na área de proteção SEP"/>
    <s v="Me desenvolver tecnicamente em proteção SEP, com foco em AT"/>
    <x v="18"/>
    <x v="2"/>
    <s v="Dominar os principais conceitos que norteiam a area de engenharia no SEP: análises de sistemas, componentes simetricas e curto-circuito, transitórios eletromagnéticos e fluxo de potência"/>
    <s v="Notas de estudo e anotações nos livros"/>
  </r>
  <r>
    <x v="3"/>
    <x v="0"/>
    <s v="Reconhecimento profissional na área de proteção SEP"/>
    <s v="Me desenvolver tecnicamente em proteção SEP, com foco em AT"/>
    <x v="18"/>
    <x v="2"/>
    <s v="Revisar estudos de proteção das SEs e linhas e aprender a utilizar o One-liner"/>
    <s v="Notas de estudo e anotações nos livros"/>
  </r>
  <r>
    <x v="3"/>
    <x v="0"/>
    <s v="Reconhecimento profissional na área de proteção SEP"/>
    <s v="Me desenvolver tecnicamente em proteção SEP, com foco em AT"/>
    <x v="18"/>
    <x v="2"/>
    <s v="Participar do TAC de uma SE em contrução na Energisa Acre"/>
    <s v="Notas de estudo e anotações nos unifilares e funcionais"/>
  </r>
  <r>
    <x v="3"/>
    <x v="0"/>
    <s v="Reconhecimento profissional na área de proteção SEP"/>
    <s v="Me desenvolver tecnicamente em proteção SEP, com foco em AT"/>
    <x v="19"/>
    <x v="1"/>
    <s v="Realizar cursos de análise de eventos do Maezono e linkar com casos práticos"/>
    <s v="Notas de estudo e anotações nos livros"/>
  </r>
  <r>
    <x v="3"/>
    <x v="1"/>
    <s v="Realização pessoal"/>
    <s v="Comprar uma casa para meus pais"/>
    <x v="19"/>
    <x v="2"/>
    <s v="Entrar em contato com corretores, definir imóvel, definir data de ida e realizar compra"/>
    <s v="Imóvel no meu nome"/>
  </r>
  <r>
    <x v="3"/>
    <x v="0"/>
    <s v="Cursar doutorado"/>
    <s v="Passar em curso de doutorado"/>
    <x v="20"/>
    <x v="6"/>
    <s v="Submeter inscrição ao curso de doutorado"/>
    <s v="Inscrição"/>
  </r>
  <r>
    <x v="3"/>
    <x v="0"/>
    <s v="Reconhecimento profissional como gestor"/>
    <s v="Me desenvolver como gestor"/>
    <x v="20"/>
    <x v="6"/>
    <s v="Finalizar MBA em gestão"/>
    <s v="Certificado"/>
  </r>
  <r>
    <x v="3"/>
    <x v="1"/>
    <s v="Crescimento pessoal"/>
    <s v="Desenvolver uma nova habilidade"/>
    <x v="20"/>
    <x v="6"/>
    <s v="Através de curso online ou presencial a definir"/>
    <s v="Certificado"/>
  </r>
  <r>
    <x v="3"/>
    <x v="2"/>
    <s v="Ter renda passiva de R$ 4.000,00 ao mês"/>
    <s v="Valorizar meu patrimônio atual em, no mínimo, 10% através de investimentos"/>
    <x v="20"/>
    <x v="6"/>
    <s v="Potencializar investimentos de forma a gerar progressão nos ganhos"/>
    <s v="Extrato da corretora"/>
  </r>
  <r>
    <x v="3"/>
    <x v="2"/>
    <s v="Ter renda passiva de R$ 4.000,00 ao mês"/>
    <s v="Me especializar em investimentos em renda variável"/>
    <x v="20"/>
    <x v="6"/>
    <s v="Realizar cursos de finanças"/>
    <s v="Anotações, acompanhamento do curso"/>
  </r>
  <r>
    <x v="3"/>
    <x v="0"/>
    <s v="Reconhecimento profissional como gestor"/>
    <s v="Me desenvolver como gestor"/>
    <x v="21"/>
    <x v="6"/>
    <s v="Rever conteúdo do PAC"/>
    <s v="Notas de estudo e anotações nos livros"/>
  </r>
  <r>
    <x v="3"/>
    <x v="0"/>
    <s v="Reconhecimento profissional na área de proteção SEP"/>
    <s v="Ministrar cursos gratuitos na área de proteção"/>
    <x v="22"/>
    <x v="6"/>
    <s v="Através de participações em cursos ministrados em canais de mídia virtual ou em cursos presenciais"/>
    <s v="Vídeo ou algum registro dos eventos"/>
  </r>
  <r>
    <x v="3"/>
    <x v="0"/>
    <s v="Reconhecimento profissional na área de proteção SEP"/>
    <s v="Ministrar cursos gratuitos na área de proteção"/>
    <x v="22"/>
    <x v="6"/>
    <s v="Aumento da minha networking na área de proteção de sistemas no Brasil"/>
    <s v="Participação em grupos sociais relacionados ao tema"/>
  </r>
  <r>
    <x v="3"/>
    <x v="0"/>
    <s v="Reconhecimento profissional na área de proteção SEP"/>
    <s v="Ministrar cursos gratuitos na área de proteção"/>
    <x v="22"/>
    <x v="6"/>
    <s v="Participação em congressos ou eventos/ feiras científicas em universidades"/>
    <s v="Registro de partipação dos eventos científicos"/>
  </r>
  <r>
    <x v="3"/>
    <x v="1"/>
    <s v="Crescimento pessoal"/>
    <s v="Ter lido  9 livros não técnicos"/>
    <x v="22"/>
    <x v="6"/>
    <s v="Comprar 3 livros por ano e realizar leitura"/>
    <s v="Livros marcados com anotações e resenha dos livros"/>
  </r>
  <r>
    <x v="3"/>
    <x v="1"/>
    <s v="Crescimento pessoal"/>
    <s v="Ser capaz de me comunicar em espanhol"/>
    <x v="22"/>
    <x v="6"/>
    <s v="Através de cursos em diferentes plataformas"/>
    <s v="Consumir conteúdos no idioma, sem auxílio de &quot;muletas&quot; e entendê-los."/>
  </r>
  <r>
    <x v="3"/>
    <x v="1"/>
    <s v="Crescimento pessoal"/>
    <s v="Fazer um tour pelo Brasil"/>
    <x v="22"/>
    <x v="6"/>
    <s v="Juntar dinheiro e, durante férias, conhecer os pontos turísticos das capitais dos estados a programar"/>
    <s v="Fotos/ souvenirs de cada ponto turísticos das cidades"/>
  </r>
  <r>
    <x v="3"/>
    <x v="1"/>
    <s v="Realização pessoal"/>
    <s v="Trocar de carro"/>
    <x v="22"/>
    <x v="6"/>
    <s v="Juntar dinheiro, vender o carro atual e comprar outro mais novo e moderno"/>
    <s v="Carro"/>
  </r>
  <r>
    <x v="3"/>
    <x v="1"/>
    <s v="Ter saúde física e mental"/>
    <s v="Desenvolver uma rotina saudável para cuidados pessoais: corpo, mente e espírito"/>
    <x v="22"/>
    <x v="6"/>
    <s v="Através de rotinas de alimentação saudável, alinhadas a treino, meditação e autoconhecimento"/>
    <s v="Exames clínicos"/>
  </r>
  <r>
    <x v="3"/>
    <x v="1"/>
    <s v="Realização pessoal"/>
    <s v="Saltar de paraquedas"/>
    <x v="22"/>
    <x v="6"/>
    <s v="Programar e realizar salto"/>
    <s v="Fotos"/>
  </r>
  <r>
    <x v="3"/>
    <x v="2"/>
    <s v="Ter renda passiva de R$ 1.700,00 ao mês"/>
    <s v="Ter renda passiva de R$ 1.700,00 ao mês"/>
    <x v="22"/>
    <x v="6"/>
    <s v="Ter R$ 350.000,00 em investimentos que me possibilitem esta renda, tais como FIIs e ações"/>
    <s v="Extrato da corretora"/>
  </r>
  <r>
    <x v="3"/>
    <x v="2"/>
    <s v="Ter patrimônio líquido de R$ 800.000,00"/>
    <s v="Ter renda ativa mensal de R$ 11.000,00 ao mês"/>
    <x v="22"/>
    <x v="6"/>
    <s v="Dar aula na área de proteção com renda de 3 k ao mês  para acrescentar renda mensal atual"/>
    <s v="Extrato banco"/>
  </r>
  <r>
    <x v="3"/>
    <x v="1"/>
    <s v="Realização pessoal"/>
    <s v="Aprender a surfar"/>
    <x v="23"/>
    <x v="6"/>
    <s v="Durante o tour por cidade litorânea fazer aula de surf"/>
    <s v="Fotos, vídeos"/>
  </r>
  <r>
    <x v="3"/>
    <x v="0"/>
    <s v="Reconhecimento profissional na área de proteção SEP"/>
    <s v="Publicar 1º artigo científico na área de proteção"/>
    <x v="23"/>
    <x v="6"/>
    <s v="Desenvolver artigo científico sobre tema relevante da proteção da distribuição, utilizando resultados práticos do trabalho, e publicar em congresso"/>
    <s v="Publicação e nome em congresso"/>
  </r>
  <r>
    <x v="3"/>
    <x v="0"/>
    <s v="Reconhecimento profissional na área de proteção SEP"/>
    <s v="Atuar como professor na área de proteção"/>
    <x v="23"/>
    <x v="6"/>
    <s v="Ministrar disciplina de proteção em universidades particulares"/>
    <s v="Recibo dos serviços prestados"/>
  </r>
  <r>
    <x v="3"/>
    <x v="0"/>
    <s v="Cursar doutorado"/>
    <s v="Passar em curso de doutorado"/>
    <x v="23"/>
    <x v="6"/>
    <s v="Recebendo aprovação em alguma das inscrições realizadas"/>
    <s v="Carta de aprovação"/>
  </r>
  <r>
    <x v="3"/>
    <x v="1"/>
    <s v="Ter saúde física e mental"/>
    <s v="Sair do Acre, para local que me sinta melhor"/>
    <x v="23"/>
    <x v="6"/>
    <s v="Definir local para morar, dependendo das oportunidades e me mudar"/>
    <s v="Novo endereço"/>
  </r>
  <r>
    <x v="3"/>
    <x v="2"/>
    <s v="Ter renda passiva de R$ 4.000,00 ao mês"/>
    <s v="Realizar pelo menos 12 aportes em renda variável"/>
    <x v="23"/>
    <x v="6"/>
    <s v="Reservar o dinheiro para investimentos e realizar aportes mensais em FIIs, fundos de investimento ou ações"/>
    <s v="Extrato da corretora"/>
  </r>
  <r>
    <x v="3"/>
    <x v="3"/>
    <s v="Ajudar a construir um mundo melhor/fazer a diferença neste mundo através do exemplo"/>
    <s v="Ter realizado  3 ações de fim de ano"/>
    <x v="23"/>
    <x v="6"/>
    <s v="Organizar anualmente ação solidária com amigos no fim do ano (sopãp, doação de agasalho, etc.)"/>
    <s v="Fotos"/>
  </r>
  <r>
    <x v="3"/>
    <x v="3"/>
    <s v="Ajudar a construir um mundo melhor/fazer a diferença neste mundo através do exemplo"/>
    <s v="Ter ajudado 12 famílias"/>
    <x v="23"/>
    <x v="6"/>
    <s v="Doar cestas basicas a cada dois meses e para famílias diferetes ou ajudar com trabalho"/>
    <s v="Não há"/>
  </r>
  <r>
    <x v="3"/>
    <x v="1"/>
    <s v="Crescimento pessoal"/>
    <s v="Fazer um tour pelo Brasil"/>
    <x v="24"/>
    <x v="6"/>
    <s v="Ter conhecido ao menos 17 estados do Brasil"/>
    <s v="Fotos/ souvenirs de cada ponto turísticos das cidades"/>
  </r>
  <r>
    <x v="3"/>
    <x v="0"/>
    <s v="Cursar doutorado"/>
    <s v="Ter realizado parte das &quot;disciplinas nacionais&quot; de um programa de doutorado na área de proteção SEP"/>
    <x v="24"/>
    <x v="6"/>
    <s v="Realizar disciplinas conforme programa"/>
    <s v="Histórico de disciplinas"/>
  </r>
  <r>
    <x v="3"/>
    <x v="0"/>
    <s v="Reconhecimento profissional na área de proteção SEP"/>
    <s v="Atuar como professor na área de proteção"/>
    <x v="24"/>
    <x v="6"/>
    <s v="Participação em programas de especialização de engenheiros eletricistas"/>
    <s v="Recibo dos serviços prestados"/>
  </r>
  <r>
    <x v="3"/>
    <x v="0"/>
    <s v="Reconhecimento profissional na área de proteção SEP"/>
    <s v="Publicar 2º artigo científico na área de proteção"/>
    <x v="25"/>
    <x v="6"/>
    <s v="Desenvolver artigo científico sobre tema relevante da proteção da distribuição, utilizando resultados práticos do trabalho, e publicar em congresso"/>
    <s v="Publicação e nome em congresso"/>
  </r>
  <r>
    <x v="3"/>
    <x v="0"/>
    <s v="Reconhecimento profissional na área de proteção SEP"/>
    <s v="Fazer parte de conselho de classe ou órgão de influência no setor elétrico"/>
    <x v="26"/>
    <x v="7"/>
    <s v="Desenvolvendo uma carreira sólida no setor elétrico, construindo network e buscando ter voz ativa no setor"/>
    <s v="Nomeação, cargo, identificaçao dentro de conselho de classe"/>
  </r>
  <r>
    <x v="3"/>
    <x v="0"/>
    <s v="Reconhecimento profissional na área de proteção SEP"/>
    <s v="Ministrar cursos de proteção de SEP"/>
    <x v="26"/>
    <x v="7"/>
    <s v="Contruindo uma carreira sólida dentro do setor de proteção em SEP, desenvolvendo conhecimentos, me mantendo atualizado e construindo network"/>
    <s v="Nota fiscal dos serviços prestados"/>
  </r>
  <r>
    <x v="3"/>
    <x v="0"/>
    <s v="Reconhecimento profissional na área de proteção SEP"/>
    <s v="Ter publicado 3 artigos científicos na área de proteção de SEP"/>
    <x v="26"/>
    <x v="7"/>
    <s v="Publicando 1 artigo nos anos de 2024, 2025 e 2026"/>
    <s v="Comprovantes de congressos e revistas com meu nome nos artigos"/>
  </r>
  <r>
    <x v="3"/>
    <x v="0"/>
    <s v="Reconhecimento profissional como gestor"/>
    <s v="Assumir a gerência de área técnica em empresa do setor elétrico, que atue na área de SEP"/>
    <x v="26"/>
    <x v="7"/>
    <s v="Desenvolvendo uma carreira sólida no setor elétrico, construindo network e buscando desenvolvimento com gestor"/>
    <s v="Cargo de gerente"/>
  </r>
  <r>
    <x v="3"/>
    <x v="0"/>
    <s v="Cursar doutorado"/>
    <s v="Ter realizado todas as &quot;disciplinas nacionais&quot; de um programa de doutorado na área de proteção SEP"/>
    <x v="26"/>
    <x v="7"/>
    <s v="Realizar disciplinas conforme programa"/>
    <s v="Histórico de disciplinas"/>
  </r>
  <r>
    <x v="3"/>
    <x v="1"/>
    <s v="Inspirar pessoas/ Ajudar a construir um mundo melhor/ fazer a diferença neste mundo"/>
    <s v="Inspirar pessoas/ Ajudar a construir um mundo melhor/ fazer a diferença neste mundo"/>
    <x v="26"/>
    <x v="7"/>
    <s v="Através do exemplo da minha vida e ações do dia a dia que impactem pessoas de forma positiva"/>
    <s v="Não há"/>
  </r>
  <r>
    <x v="3"/>
    <x v="1"/>
    <s v="Ter saúde física e mental"/>
    <s v="Ter orgulho da pessoa que me tornei"/>
    <x v="26"/>
    <x v="7"/>
    <s v="Alcançando meus objetivos sem fazer mal a ninguém"/>
    <s v="balanço dos meus objetivos até 2026"/>
  </r>
  <r>
    <x v="3"/>
    <x v="1"/>
    <s v="Ter saúde física e mental"/>
    <s v="Ter orgulho da pessoa que me tornei"/>
    <x v="26"/>
    <x v="7"/>
    <s v="Refletindo sobre os pontos importantes da minha caminhada (saúde, família, profissão, impacto no mundo, amigos, finanças etc) e buscando constantemente me tornar a minha melhor versão"/>
    <s v="Não há"/>
  </r>
  <r>
    <x v="3"/>
    <x v="1"/>
    <s v="Ter saúde física e mental"/>
    <s v="Desenvolver uma rotina saudável para cuidados pessoais: corpo, mente e espírito"/>
    <x v="26"/>
    <x v="7"/>
    <s v="Através de rotinas de alimentação saudável, alinhadas a treino, meditação e autoconhecimento"/>
    <s v="Exames clínicos"/>
  </r>
  <r>
    <x v="3"/>
    <x v="1"/>
    <s v="Ter saúde física e mental"/>
    <s v="Atingir  condição de 80kg com BF de 15%"/>
    <x v="26"/>
    <x v="7"/>
    <s v="Através de rotinas de alimentação saudável e treinos"/>
    <s v="Exame de bioimpedância"/>
  </r>
  <r>
    <x v="3"/>
    <x v="1"/>
    <s v="Ter saúde física e mental"/>
    <s v="Morar em um local onde me sinta bem"/>
    <x v="26"/>
    <x v="7"/>
    <s v="Montar um ambiente confortável"/>
    <s v="Ambiente aconchegante"/>
  </r>
  <r>
    <x v="3"/>
    <x v="1"/>
    <s v="Ter saúde física e mental"/>
    <s v="Morar em um local onde me sinta bem"/>
    <x v="26"/>
    <x v="7"/>
    <s v="Comprar minha casa ou alugar em um local bom"/>
    <s v="Local seguro, bem localizado dentro da cidade"/>
  </r>
  <r>
    <x v="3"/>
    <x v="1"/>
    <s v="Ter saúde física e mental"/>
    <s v="Morar em um local onde me sinta bem"/>
    <x v="26"/>
    <x v="7"/>
    <s v="Mudar para cidade com acesso a praia e belezas naturais"/>
    <s v="Cidade com fácil acesso à praia"/>
  </r>
  <r>
    <x v="3"/>
    <x v="1"/>
    <s v="Crescimento pessoal"/>
    <s v="Conseguir me comunicar em italiano"/>
    <x v="26"/>
    <x v="7"/>
    <s v="Fazer cursos em diferentes plataformas"/>
    <s v="Consumir conteúdos no idioma, sem auxílio de &quot;muletas&quot; e entendê-los."/>
  </r>
  <r>
    <x v="3"/>
    <x v="1"/>
    <s v="Crescimento pessoal"/>
    <s v="Conseguir me comunicar em espanhol"/>
    <x v="26"/>
    <x v="7"/>
    <s v="Consumir conteúdo no idioma"/>
    <s v="Consumir conteúdos no idioma, sem auxílio de &quot;muletas&quot; e entendê-los."/>
  </r>
  <r>
    <x v="3"/>
    <x v="1"/>
    <s v="Crescimento pessoal"/>
    <s v="Conseguir me comunicar em inglês"/>
    <x v="26"/>
    <x v="7"/>
    <s v="Consumir conteúdo no idioma"/>
    <s v="Consumir conteúdos no idioma, sem auxílio de &quot;muletas&quot; e entendê-los."/>
  </r>
  <r>
    <x v="3"/>
    <x v="1"/>
    <s v="Crescimento pessoal"/>
    <s v="Fazer tour pela Europa"/>
    <x v="26"/>
    <x v="7"/>
    <s v="Juntar dinheiro e, durante as férias, viajar para um país europeu do qual seja possível conhecer os demais países de forma mais simples."/>
    <s v="Fotos/Souvenirs de países europeus"/>
  </r>
  <r>
    <x v="3"/>
    <x v="1"/>
    <s v="Realização pessoal"/>
    <s v="Ter proporcionado ao menos 4 viagens nacionais para minha família"/>
    <x v="26"/>
    <x v="7"/>
    <s v="Comprar passagens e incentivar as viagens  a cada ano"/>
    <s v="Fotos"/>
  </r>
  <r>
    <x v="3"/>
    <x v="1"/>
    <s v="Crescimento pessoal"/>
    <s v="Ter lido 15 livros não técnicos"/>
    <x v="26"/>
    <x v="7"/>
    <s v="Comprar 3 livros por ano e realizar leitura"/>
    <s v="Livros marcados com anotações e resenha dos livros"/>
  </r>
  <r>
    <x v="3"/>
    <x v="2"/>
    <s v="Ter patrimônio líquido de R$ 800.000,00"/>
    <s v="Ter patrimônio líquido de R$ 800.000,00"/>
    <x v="26"/>
    <x v="7"/>
    <s v="Acumulando bens através do trabalho e realizando aportes mensais em investimentos de acordo com a planilha de &quot;Meta financeira&quot; "/>
    <s v="Contas dos bancos, valor dos bens materiais acumulados, extrato da bolsa de valores etc."/>
  </r>
  <r>
    <x v="3"/>
    <x v="2"/>
    <s v="Ter renda passiva de R$ 4.000,00 ao mês"/>
    <s v="Ter renda passiva de R$ 4.000,00 ao mês"/>
    <x v="26"/>
    <x v="7"/>
    <s v="Ter R$ 800.000,00 em investimentos que me possibilitem esta renda, tais como FIIs e ações"/>
    <s v="Extrato da corretora"/>
  </r>
  <r>
    <x v="3"/>
    <x v="3"/>
    <s v="Ajudar a construir um mundo melhor/fazer a diferença neste mundo através do exemplo"/>
    <s v="Fazer parte de uma ONG/grupo que apoia uma causa relevante na sociedade"/>
    <x v="26"/>
    <x v="7"/>
    <s v="Participar ativamente de organização/grupos de auxílio ao próximo"/>
    <s v="Não há"/>
  </r>
  <r>
    <x v="3"/>
    <x v="3"/>
    <s v="Ajudar a construir um mundo melhor/fazer a diferença neste mundo através do exemplo"/>
    <s v="Ter ajudado 25  famílias"/>
    <x v="26"/>
    <x v="7"/>
    <s v="Doar cestas basicas a cada dois meses e para famílias diferetes ou ajudar com trabalho"/>
    <s v="Não há"/>
  </r>
  <r>
    <x v="3"/>
    <x v="3"/>
    <s v="Ajudar a construir um mundo melhor/fazer a diferença neste mundo através do exemplo"/>
    <s v="Ter realizado 5 ações de fim de ano"/>
    <x v="27"/>
    <x v="7"/>
    <s v="Organizar anualmente ação solidária com amigos no fim do ano (sopãp, doação de agasalho, etc.)"/>
    <s v="Foto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
  <r>
    <x v="0"/>
    <x v="0"/>
    <x v="0"/>
    <n v="6"/>
    <x v="0"/>
    <s v="Organizar trabalho"/>
  </r>
  <r>
    <x v="0"/>
    <x v="0"/>
    <x v="0"/>
    <n v="8"/>
    <x v="0"/>
    <s v="Começar o curso de proteção do Maezono"/>
  </r>
  <r>
    <x v="0"/>
    <x v="0"/>
    <x v="0"/>
    <n v="10"/>
    <x v="0"/>
    <s v="Começar a rotina corretamente"/>
  </r>
  <r>
    <x v="0"/>
    <x v="0"/>
    <x v="0"/>
    <n v="12"/>
    <x v="0"/>
    <s v="Fechar pendências dos estudos das obras e rever comentários"/>
  </r>
  <r>
    <x v="0"/>
    <x v="0"/>
    <x v="0"/>
    <n v="14"/>
    <x v="0"/>
    <n v="0"/>
  </r>
  <r>
    <x v="0"/>
    <x v="1"/>
    <x v="1"/>
    <n v="30"/>
    <x v="0"/>
    <n v="0"/>
  </r>
  <r>
    <x v="0"/>
    <x v="1"/>
    <x v="1"/>
    <n v="32"/>
    <x v="0"/>
    <n v="0"/>
  </r>
  <r>
    <x v="0"/>
    <x v="1"/>
    <x v="1"/>
    <n v="34"/>
    <x v="0"/>
    <n v="0"/>
  </r>
  <r>
    <x v="0"/>
    <x v="1"/>
    <x v="1"/>
    <n v="36"/>
    <x v="0"/>
    <n v="0"/>
  </r>
  <r>
    <x v="0"/>
    <x v="1"/>
    <x v="1"/>
    <n v="38"/>
    <x v="0"/>
    <n v="0"/>
  </r>
  <r>
    <x v="1"/>
    <x v="2"/>
    <x v="2"/>
    <n v="54"/>
    <x v="0"/>
    <n v="0"/>
  </r>
  <r>
    <x v="1"/>
    <x v="2"/>
    <x v="2"/>
    <n v="56"/>
    <x v="0"/>
    <n v="0"/>
  </r>
  <r>
    <x v="1"/>
    <x v="2"/>
    <x v="2"/>
    <n v="58"/>
    <x v="0"/>
    <n v="0"/>
  </r>
  <r>
    <x v="1"/>
    <x v="2"/>
    <x v="2"/>
    <n v="60"/>
    <x v="0"/>
    <n v="0"/>
  </r>
  <r>
    <x v="1"/>
    <x v="2"/>
    <x v="2"/>
    <n v="62"/>
    <x v="0"/>
    <n v="0"/>
  </r>
  <r>
    <x v="1"/>
    <x v="3"/>
    <x v="3"/>
    <n v="78"/>
    <x v="0"/>
    <n v="0"/>
  </r>
  <r>
    <x v="1"/>
    <x v="3"/>
    <x v="3"/>
    <n v="80"/>
    <x v="0"/>
    <n v="0"/>
  </r>
  <r>
    <x v="1"/>
    <x v="3"/>
    <x v="3"/>
    <n v="82"/>
    <x v="0"/>
    <n v="0"/>
  </r>
  <r>
    <x v="1"/>
    <x v="3"/>
    <x v="3"/>
    <n v="84"/>
    <x v="0"/>
    <n v="0"/>
  </r>
  <r>
    <x v="1"/>
    <x v="3"/>
    <x v="3"/>
    <n v="86"/>
    <x v="0"/>
    <n v="0"/>
  </r>
  <r>
    <x v="1"/>
    <x v="4"/>
    <x v="4"/>
    <n v="102"/>
    <x v="0"/>
    <n v="0"/>
  </r>
  <r>
    <x v="1"/>
    <x v="4"/>
    <x v="4"/>
    <n v="104"/>
    <x v="0"/>
    <n v="0"/>
  </r>
  <r>
    <x v="1"/>
    <x v="4"/>
    <x v="4"/>
    <n v="106"/>
    <x v="0"/>
    <n v="0"/>
  </r>
  <r>
    <x v="1"/>
    <x v="4"/>
    <x v="4"/>
    <n v="108"/>
    <x v="0"/>
    <n v="0"/>
  </r>
  <r>
    <x v="1"/>
    <x v="4"/>
    <x v="4"/>
    <n v="110"/>
    <x v="0"/>
    <n v="0"/>
  </r>
  <r>
    <x v="1"/>
    <x v="5"/>
    <x v="5"/>
    <n v="126"/>
    <x v="0"/>
    <n v="0"/>
  </r>
  <r>
    <x v="1"/>
    <x v="5"/>
    <x v="5"/>
    <n v="128"/>
    <x v="0"/>
    <n v="0"/>
  </r>
  <r>
    <x v="1"/>
    <x v="5"/>
    <x v="5"/>
    <n v="130"/>
    <x v="0"/>
    <n v="0"/>
  </r>
  <r>
    <x v="1"/>
    <x v="5"/>
    <x v="5"/>
    <n v="132"/>
    <x v="0"/>
    <n v="0"/>
  </r>
  <r>
    <x v="1"/>
    <x v="5"/>
    <x v="5"/>
    <n v="134"/>
    <x v="0"/>
    <n v="0"/>
  </r>
  <r>
    <x v="2"/>
    <x v="6"/>
    <x v="6"/>
    <n v="150"/>
    <x v="0"/>
    <n v="0"/>
  </r>
  <r>
    <x v="2"/>
    <x v="6"/>
    <x v="6"/>
    <n v="152"/>
    <x v="0"/>
    <n v="0"/>
  </r>
  <r>
    <x v="2"/>
    <x v="6"/>
    <x v="6"/>
    <n v="154"/>
    <x v="0"/>
    <n v="0"/>
  </r>
  <r>
    <x v="2"/>
    <x v="6"/>
    <x v="6"/>
    <n v="156"/>
    <x v="0"/>
    <n v="0"/>
  </r>
  <r>
    <x v="2"/>
    <x v="6"/>
    <x v="6"/>
    <n v="158"/>
    <x v="0"/>
    <n v="0"/>
  </r>
  <r>
    <x v="2"/>
    <x v="7"/>
    <x v="7"/>
    <n v="174"/>
    <x v="0"/>
    <n v="0"/>
  </r>
  <r>
    <x v="2"/>
    <x v="7"/>
    <x v="7"/>
    <n v="176"/>
    <x v="0"/>
    <n v="0"/>
  </r>
  <r>
    <x v="2"/>
    <x v="7"/>
    <x v="7"/>
    <n v="178"/>
    <x v="0"/>
    <n v="0"/>
  </r>
  <r>
    <x v="2"/>
    <x v="7"/>
    <x v="7"/>
    <n v="180"/>
    <x v="0"/>
    <n v="0"/>
  </r>
  <r>
    <x v="2"/>
    <x v="7"/>
    <x v="7"/>
    <n v="182"/>
    <x v="0"/>
    <n v="0"/>
  </r>
  <r>
    <x v="2"/>
    <x v="8"/>
    <x v="8"/>
    <n v="198"/>
    <x v="0"/>
    <n v="0"/>
  </r>
  <r>
    <x v="2"/>
    <x v="8"/>
    <x v="8"/>
    <n v="200"/>
    <x v="0"/>
    <n v="0"/>
  </r>
  <r>
    <x v="2"/>
    <x v="8"/>
    <x v="8"/>
    <n v="202"/>
    <x v="0"/>
    <n v="0"/>
  </r>
  <r>
    <x v="2"/>
    <x v="8"/>
    <x v="8"/>
    <n v="204"/>
    <x v="0"/>
    <n v="0"/>
  </r>
  <r>
    <x v="2"/>
    <x v="8"/>
    <x v="8"/>
    <n v="206"/>
    <x v="0"/>
    <n v="0"/>
  </r>
  <r>
    <x v="2"/>
    <x v="9"/>
    <x v="9"/>
    <n v="222"/>
    <x v="0"/>
    <n v="0"/>
  </r>
  <r>
    <x v="2"/>
    <x v="9"/>
    <x v="9"/>
    <n v="224"/>
    <x v="0"/>
    <n v="0"/>
  </r>
  <r>
    <x v="2"/>
    <x v="9"/>
    <x v="9"/>
    <n v="226"/>
    <x v="0"/>
    <n v="0"/>
  </r>
  <r>
    <x v="2"/>
    <x v="9"/>
    <x v="9"/>
    <n v="228"/>
    <x v="0"/>
    <n v="0"/>
  </r>
  <r>
    <x v="2"/>
    <x v="9"/>
    <x v="9"/>
    <n v="230"/>
    <x v="0"/>
    <n v="0"/>
  </r>
  <r>
    <x v="2"/>
    <x v="10"/>
    <x v="10"/>
    <n v="246"/>
    <x v="0"/>
    <n v="0"/>
  </r>
  <r>
    <x v="2"/>
    <x v="10"/>
    <x v="10"/>
    <n v="248"/>
    <x v="0"/>
    <n v="0"/>
  </r>
  <r>
    <x v="2"/>
    <x v="10"/>
    <x v="10"/>
    <n v="250"/>
    <x v="0"/>
    <n v="0"/>
  </r>
  <r>
    <x v="2"/>
    <x v="10"/>
    <x v="10"/>
    <n v="252"/>
    <x v="0"/>
    <n v="0"/>
  </r>
  <r>
    <x v="2"/>
    <x v="10"/>
    <x v="10"/>
    <n v="254"/>
    <x v="0"/>
    <n v="0"/>
  </r>
  <r>
    <x v="3"/>
    <x v="11"/>
    <x v="11"/>
    <n v="270"/>
    <x v="0"/>
    <n v="0"/>
  </r>
  <r>
    <x v="3"/>
    <x v="11"/>
    <x v="11"/>
    <n v="272"/>
    <x v="0"/>
    <n v="0"/>
  </r>
  <r>
    <x v="3"/>
    <x v="11"/>
    <x v="11"/>
    <n v="274"/>
    <x v="0"/>
    <n v="0"/>
  </r>
  <r>
    <x v="3"/>
    <x v="11"/>
    <x v="11"/>
    <n v="276"/>
    <x v="0"/>
    <n v="0"/>
  </r>
  <r>
    <x v="3"/>
    <x v="11"/>
    <x v="11"/>
    <n v="278"/>
    <x v="0"/>
    <n v="0"/>
  </r>
  <r>
    <x v="3"/>
    <x v="12"/>
    <x v="12"/>
    <n v="294"/>
    <x v="0"/>
    <n v="0"/>
  </r>
  <r>
    <x v="3"/>
    <x v="12"/>
    <x v="12"/>
    <n v="296"/>
    <x v="0"/>
    <n v="0"/>
  </r>
  <r>
    <x v="3"/>
    <x v="12"/>
    <x v="12"/>
    <n v="298"/>
    <x v="0"/>
    <n v="0"/>
  </r>
  <r>
    <x v="3"/>
    <x v="12"/>
    <x v="12"/>
    <n v="300"/>
    <x v="0"/>
    <n v="0"/>
  </r>
  <r>
    <x v="3"/>
    <x v="12"/>
    <x v="12"/>
    <n v="302"/>
    <x v="0"/>
    <n v="0"/>
  </r>
  <r>
    <x v="3"/>
    <x v="13"/>
    <x v="13"/>
    <n v="318"/>
    <x v="0"/>
    <n v="0"/>
  </r>
  <r>
    <x v="3"/>
    <x v="13"/>
    <x v="13"/>
    <n v="320"/>
    <x v="0"/>
    <n v="0"/>
  </r>
  <r>
    <x v="3"/>
    <x v="13"/>
    <x v="13"/>
    <n v="322"/>
    <x v="0"/>
    <n v="0"/>
  </r>
  <r>
    <x v="3"/>
    <x v="13"/>
    <x v="13"/>
    <n v="324"/>
    <x v="0"/>
    <n v="0"/>
  </r>
  <r>
    <x v="3"/>
    <x v="13"/>
    <x v="13"/>
    <n v="326"/>
    <x v="0"/>
    <n v="0"/>
  </r>
  <r>
    <x v="3"/>
    <x v="14"/>
    <x v="14"/>
    <n v="342"/>
    <x v="0"/>
    <n v="0"/>
  </r>
  <r>
    <x v="3"/>
    <x v="14"/>
    <x v="14"/>
    <n v="344"/>
    <x v="0"/>
    <n v="0"/>
  </r>
  <r>
    <x v="3"/>
    <x v="14"/>
    <x v="14"/>
    <n v="346"/>
    <x v="0"/>
    <n v="0"/>
  </r>
  <r>
    <x v="3"/>
    <x v="14"/>
    <x v="14"/>
    <n v="348"/>
    <x v="0"/>
    <n v="0"/>
  </r>
  <r>
    <x v="3"/>
    <x v="14"/>
    <x v="14"/>
    <n v="350"/>
    <x v="0"/>
    <n v="0"/>
  </r>
  <r>
    <x v="4"/>
    <x v="15"/>
    <x v="15"/>
    <n v="366"/>
    <x v="0"/>
    <n v="0"/>
  </r>
  <r>
    <x v="4"/>
    <x v="15"/>
    <x v="15"/>
    <n v="368"/>
    <x v="0"/>
    <n v="0"/>
  </r>
  <r>
    <x v="4"/>
    <x v="15"/>
    <x v="15"/>
    <n v="370"/>
    <x v="0"/>
    <n v="0"/>
  </r>
  <r>
    <x v="4"/>
    <x v="15"/>
    <x v="15"/>
    <n v="372"/>
    <x v="0"/>
    <n v="0"/>
  </r>
  <r>
    <x v="4"/>
    <x v="15"/>
    <x v="15"/>
    <n v="374"/>
    <x v="0"/>
    <n v="0"/>
  </r>
  <r>
    <x v="4"/>
    <x v="16"/>
    <x v="16"/>
    <n v="390"/>
    <x v="0"/>
    <n v="0"/>
  </r>
  <r>
    <x v="4"/>
    <x v="16"/>
    <x v="16"/>
    <n v="392"/>
    <x v="0"/>
    <n v="0"/>
  </r>
  <r>
    <x v="4"/>
    <x v="16"/>
    <x v="16"/>
    <n v="394"/>
    <x v="0"/>
    <n v="0"/>
  </r>
  <r>
    <x v="4"/>
    <x v="16"/>
    <x v="16"/>
    <n v="396"/>
    <x v="0"/>
    <n v="0"/>
  </r>
  <r>
    <x v="4"/>
    <x v="16"/>
    <x v="16"/>
    <n v="398"/>
    <x v="0"/>
    <n v="0"/>
  </r>
  <r>
    <x v="4"/>
    <x v="17"/>
    <x v="17"/>
    <n v="414"/>
    <x v="0"/>
    <n v="0"/>
  </r>
  <r>
    <x v="4"/>
    <x v="17"/>
    <x v="17"/>
    <n v="416"/>
    <x v="0"/>
    <n v="0"/>
  </r>
  <r>
    <x v="4"/>
    <x v="17"/>
    <x v="17"/>
    <n v="418"/>
    <x v="0"/>
    <n v="0"/>
  </r>
  <r>
    <x v="4"/>
    <x v="17"/>
    <x v="17"/>
    <n v="420"/>
    <x v="0"/>
    <n v="0"/>
  </r>
  <r>
    <x v="4"/>
    <x v="17"/>
    <x v="17"/>
    <n v="422"/>
    <x v="0"/>
    <n v="0"/>
  </r>
  <r>
    <x v="4"/>
    <x v="18"/>
    <x v="18"/>
    <n v="438"/>
    <x v="0"/>
    <n v="0"/>
  </r>
  <r>
    <x v="4"/>
    <x v="18"/>
    <x v="18"/>
    <n v="440"/>
    <x v="0"/>
    <n v="0"/>
  </r>
  <r>
    <x v="4"/>
    <x v="18"/>
    <x v="18"/>
    <n v="442"/>
    <x v="0"/>
    <n v="0"/>
  </r>
  <r>
    <x v="4"/>
    <x v="18"/>
    <x v="18"/>
    <n v="444"/>
    <x v="0"/>
    <n v="0"/>
  </r>
  <r>
    <x v="4"/>
    <x v="18"/>
    <x v="18"/>
    <n v="446"/>
    <x v="0"/>
    <n v="0"/>
  </r>
  <r>
    <x v="5"/>
    <x v="19"/>
    <x v="19"/>
    <n v="462"/>
    <x v="0"/>
    <n v="0"/>
  </r>
  <r>
    <x v="5"/>
    <x v="19"/>
    <x v="19"/>
    <n v="464"/>
    <x v="0"/>
    <n v="0"/>
  </r>
  <r>
    <x v="5"/>
    <x v="19"/>
    <x v="19"/>
    <n v="466"/>
    <x v="0"/>
    <n v="0"/>
  </r>
  <r>
    <x v="5"/>
    <x v="19"/>
    <x v="19"/>
    <n v="468"/>
    <x v="0"/>
    <n v="0"/>
  </r>
  <r>
    <x v="5"/>
    <x v="19"/>
    <x v="19"/>
    <n v="470"/>
    <x v="0"/>
    <n v="0"/>
  </r>
  <r>
    <x v="5"/>
    <x v="20"/>
    <x v="20"/>
    <n v="486"/>
    <x v="0"/>
    <n v="0"/>
  </r>
  <r>
    <x v="5"/>
    <x v="20"/>
    <x v="20"/>
    <n v="488"/>
    <x v="0"/>
    <n v="0"/>
  </r>
  <r>
    <x v="5"/>
    <x v="20"/>
    <x v="20"/>
    <n v="490"/>
    <x v="0"/>
    <n v="0"/>
  </r>
  <r>
    <x v="5"/>
    <x v="20"/>
    <x v="20"/>
    <n v="492"/>
    <x v="0"/>
    <n v="0"/>
  </r>
  <r>
    <x v="5"/>
    <x v="20"/>
    <x v="20"/>
    <n v="494"/>
    <x v="0"/>
    <n v="0"/>
  </r>
  <r>
    <x v="5"/>
    <x v="21"/>
    <x v="21"/>
    <n v="510"/>
    <x v="0"/>
    <n v="0"/>
  </r>
  <r>
    <x v="5"/>
    <x v="21"/>
    <x v="21"/>
    <n v="512"/>
    <x v="0"/>
    <n v="0"/>
  </r>
  <r>
    <x v="5"/>
    <x v="21"/>
    <x v="21"/>
    <n v="514"/>
    <x v="0"/>
    <n v="0"/>
  </r>
  <r>
    <x v="5"/>
    <x v="21"/>
    <x v="21"/>
    <n v="516"/>
    <x v="0"/>
    <n v="0"/>
  </r>
  <r>
    <x v="5"/>
    <x v="21"/>
    <x v="21"/>
    <n v="518"/>
    <x v="0"/>
    <n v="0"/>
  </r>
  <r>
    <x v="5"/>
    <x v="22"/>
    <x v="22"/>
    <n v="534"/>
    <x v="0"/>
    <n v="0"/>
  </r>
  <r>
    <x v="5"/>
    <x v="22"/>
    <x v="22"/>
    <n v="536"/>
    <x v="0"/>
    <n v="0"/>
  </r>
  <r>
    <x v="5"/>
    <x v="22"/>
    <x v="22"/>
    <n v="538"/>
    <x v="0"/>
    <n v="0"/>
  </r>
  <r>
    <x v="5"/>
    <x v="22"/>
    <x v="22"/>
    <n v="540"/>
    <x v="0"/>
    <n v="0"/>
  </r>
  <r>
    <x v="5"/>
    <x v="22"/>
    <x v="22"/>
    <n v="542"/>
    <x v="0"/>
    <n v="0"/>
  </r>
  <r>
    <x v="5"/>
    <x v="23"/>
    <x v="23"/>
    <n v="558"/>
    <x v="0"/>
    <n v="0"/>
  </r>
  <r>
    <x v="5"/>
    <x v="23"/>
    <x v="23"/>
    <n v="560"/>
    <x v="0"/>
    <n v="0"/>
  </r>
  <r>
    <x v="5"/>
    <x v="23"/>
    <x v="23"/>
    <n v="562"/>
    <x v="0"/>
    <n v="0"/>
  </r>
  <r>
    <x v="5"/>
    <x v="23"/>
    <x v="23"/>
    <n v="564"/>
    <x v="0"/>
    <n v="0"/>
  </r>
  <r>
    <x v="5"/>
    <x v="23"/>
    <x v="23"/>
    <n v="566"/>
    <x v="0"/>
    <n v="0"/>
  </r>
  <r>
    <x v="6"/>
    <x v="24"/>
    <x v="24"/>
    <n v="582"/>
    <x v="0"/>
    <n v="0"/>
  </r>
  <r>
    <x v="6"/>
    <x v="24"/>
    <x v="24"/>
    <n v="584"/>
    <x v="0"/>
    <n v="0"/>
  </r>
  <r>
    <x v="6"/>
    <x v="24"/>
    <x v="24"/>
    <n v="586"/>
    <x v="0"/>
    <n v="0"/>
  </r>
  <r>
    <x v="6"/>
    <x v="24"/>
    <x v="24"/>
    <n v="588"/>
    <x v="0"/>
    <n v="0"/>
  </r>
  <r>
    <x v="6"/>
    <x v="24"/>
    <x v="24"/>
    <n v="590"/>
    <x v="0"/>
    <n v="0"/>
  </r>
  <r>
    <x v="6"/>
    <x v="25"/>
    <x v="25"/>
    <n v="606"/>
    <x v="0"/>
    <n v="0"/>
  </r>
  <r>
    <x v="6"/>
    <x v="25"/>
    <x v="25"/>
    <n v="608"/>
    <x v="0"/>
    <n v="0"/>
  </r>
  <r>
    <x v="6"/>
    <x v="25"/>
    <x v="25"/>
    <n v="610"/>
    <x v="0"/>
    <n v="0"/>
  </r>
  <r>
    <x v="6"/>
    <x v="25"/>
    <x v="25"/>
    <n v="612"/>
    <x v="0"/>
    <n v="0"/>
  </r>
  <r>
    <x v="6"/>
    <x v="25"/>
    <x v="25"/>
    <n v="614"/>
    <x v="0"/>
    <n v="0"/>
  </r>
  <r>
    <x v="6"/>
    <x v="26"/>
    <x v="26"/>
    <n v="630"/>
    <x v="0"/>
    <n v="0"/>
  </r>
  <r>
    <x v="6"/>
    <x v="26"/>
    <x v="26"/>
    <n v="632"/>
    <x v="0"/>
    <n v="0"/>
  </r>
  <r>
    <x v="6"/>
    <x v="26"/>
    <x v="26"/>
    <n v="634"/>
    <x v="0"/>
    <n v="0"/>
  </r>
  <r>
    <x v="6"/>
    <x v="26"/>
    <x v="26"/>
    <n v="636"/>
    <x v="0"/>
    <n v="0"/>
  </r>
  <r>
    <x v="6"/>
    <x v="26"/>
    <x v="26"/>
    <n v="638"/>
    <x v="0"/>
    <n v="0"/>
  </r>
  <r>
    <x v="6"/>
    <x v="27"/>
    <x v="27"/>
    <n v="654"/>
    <x v="0"/>
    <n v="0"/>
  </r>
  <r>
    <x v="6"/>
    <x v="27"/>
    <x v="27"/>
    <n v="656"/>
    <x v="0"/>
    <n v="0"/>
  </r>
  <r>
    <x v="6"/>
    <x v="27"/>
    <x v="27"/>
    <n v="658"/>
    <x v="0"/>
    <n v="0"/>
  </r>
  <r>
    <x v="6"/>
    <x v="27"/>
    <x v="27"/>
    <n v="660"/>
    <x v="0"/>
    <n v="0"/>
  </r>
  <r>
    <x v="6"/>
    <x v="27"/>
    <x v="27"/>
    <n v="662"/>
    <x v="0"/>
    <n v="0"/>
  </r>
  <r>
    <x v="7"/>
    <x v="28"/>
    <x v="28"/>
    <n v="678"/>
    <x v="0"/>
    <n v="0"/>
  </r>
  <r>
    <x v="7"/>
    <x v="28"/>
    <x v="28"/>
    <n v="680"/>
    <x v="0"/>
    <n v="0"/>
  </r>
  <r>
    <x v="7"/>
    <x v="28"/>
    <x v="28"/>
    <n v="682"/>
    <x v="0"/>
    <n v="0"/>
  </r>
  <r>
    <x v="7"/>
    <x v="28"/>
    <x v="28"/>
    <n v="684"/>
    <x v="0"/>
    <n v="0"/>
  </r>
  <r>
    <x v="7"/>
    <x v="28"/>
    <x v="28"/>
    <n v="686"/>
    <x v="0"/>
    <n v="0"/>
  </r>
  <r>
    <x v="7"/>
    <x v="29"/>
    <x v="29"/>
    <n v="702"/>
    <x v="0"/>
    <n v="0"/>
  </r>
  <r>
    <x v="7"/>
    <x v="29"/>
    <x v="29"/>
    <n v="704"/>
    <x v="0"/>
    <n v="0"/>
  </r>
  <r>
    <x v="7"/>
    <x v="29"/>
    <x v="29"/>
    <n v="706"/>
    <x v="0"/>
    <n v="0"/>
  </r>
  <r>
    <x v="7"/>
    <x v="29"/>
    <x v="29"/>
    <n v="708"/>
    <x v="0"/>
    <n v="0"/>
  </r>
  <r>
    <x v="7"/>
    <x v="29"/>
    <x v="29"/>
    <n v="710"/>
    <x v="0"/>
    <n v="0"/>
  </r>
  <r>
    <x v="7"/>
    <x v="30"/>
    <x v="30"/>
    <n v="726"/>
    <x v="0"/>
    <n v="0"/>
  </r>
  <r>
    <x v="7"/>
    <x v="30"/>
    <x v="30"/>
    <n v="728"/>
    <x v="0"/>
    <n v="0"/>
  </r>
  <r>
    <x v="7"/>
    <x v="30"/>
    <x v="30"/>
    <n v="730"/>
    <x v="0"/>
    <n v="0"/>
  </r>
  <r>
    <x v="7"/>
    <x v="30"/>
    <x v="30"/>
    <n v="732"/>
    <x v="0"/>
    <n v="0"/>
  </r>
  <r>
    <x v="7"/>
    <x v="30"/>
    <x v="30"/>
    <n v="734"/>
    <x v="0"/>
    <n v="0"/>
  </r>
  <r>
    <x v="7"/>
    <x v="31"/>
    <x v="31"/>
    <n v="750"/>
    <x v="0"/>
    <n v="0"/>
  </r>
  <r>
    <x v="7"/>
    <x v="31"/>
    <x v="31"/>
    <n v="752"/>
    <x v="0"/>
    <n v="0"/>
  </r>
  <r>
    <x v="7"/>
    <x v="31"/>
    <x v="31"/>
    <n v="754"/>
    <x v="0"/>
    <n v="0"/>
  </r>
  <r>
    <x v="7"/>
    <x v="31"/>
    <x v="31"/>
    <n v="756"/>
    <x v="0"/>
    <n v="0"/>
  </r>
  <r>
    <x v="7"/>
    <x v="31"/>
    <x v="31"/>
    <n v="758"/>
    <x v="0"/>
    <n v="0"/>
  </r>
  <r>
    <x v="8"/>
    <x v="32"/>
    <x v="32"/>
    <n v="774"/>
    <x v="0"/>
    <n v="0"/>
  </r>
  <r>
    <x v="8"/>
    <x v="32"/>
    <x v="32"/>
    <n v="776"/>
    <x v="0"/>
    <n v="0"/>
  </r>
  <r>
    <x v="8"/>
    <x v="32"/>
    <x v="32"/>
    <n v="778"/>
    <x v="0"/>
    <n v="0"/>
  </r>
  <r>
    <x v="8"/>
    <x v="32"/>
    <x v="32"/>
    <n v="780"/>
    <x v="0"/>
    <n v="0"/>
  </r>
  <r>
    <x v="8"/>
    <x v="32"/>
    <x v="32"/>
    <n v="782"/>
    <x v="0"/>
    <n v="0"/>
  </r>
  <r>
    <x v="8"/>
    <x v="33"/>
    <x v="33"/>
    <n v="798"/>
    <x v="0"/>
    <n v="0"/>
  </r>
  <r>
    <x v="8"/>
    <x v="33"/>
    <x v="33"/>
    <n v="800"/>
    <x v="0"/>
    <n v="0"/>
  </r>
  <r>
    <x v="8"/>
    <x v="33"/>
    <x v="33"/>
    <n v="802"/>
    <x v="0"/>
    <n v="0"/>
  </r>
  <r>
    <x v="8"/>
    <x v="33"/>
    <x v="33"/>
    <n v="804"/>
    <x v="0"/>
    <n v="0"/>
  </r>
  <r>
    <x v="8"/>
    <x v="33"/>
    <x v="33"/>
    <n v="806"/>
    <x v="0"/>
    <n v="0"/>
  </r>
  <r>
    <x v="8"/>
    <x v="34"/>
    <x v="34"/>
    <n v="822"/>
    <x v="0"/>
    <n v="0"/>
  </r>
  <r>
    <x v="8"/>
    <x v="34"/>
    <x v="34"/>
    <n v="824"/>
    <x v="0"/>
    <n v="0"/>
  </r>
  <r>
    <x v="8"/>
    <x v="34"/>
    <x v="34"/>
    <n v="826"/>
    <x v="0"/>
    <n v="0"/>
  </r>
  <r>
    <x v="8"/>
    <x v="34"/>
    <x v="34"/>
    <n v="828"/>
    <x v="0"/>
    <n v="0"/>
  </r>
  <r>
    <x v="8"/>
    <x v="34"/>
    <x v="34"/>
    <n v="830"/>
    <x v="0"/>
    <n v="0"/>
  </r>
  <r>
    <x v="8"/>
    <x v="35"/>
    <x v="35"/>
    <n v="846"/>
    <x v="0"/>
    <n v="0"/>
  </r>
  <r>
    <x v="8"/>
    <x v="35"/>
    <x v="35"/>
    <n v="848"/>
    <x v="0"/>
    <n v="0"/>
  </r>
  <r>
    <x v="8"/>
    <x v="35"/>
    <x v="35"/>
    <n v="850"/>
    <x v="0"/>
    <n v="0"/>
  </r>
  <r>
    <x v="8"/>
    <x v="35"/>
    <x v="35"/>
    <n v="852"/>
    <x v="0"/>
    <n v="0"/>
  </r>
  <r>
    <x v="8"/>
    <x v="35"/>
    <x v="35"/>
    <n v="854"/>
    <x v="0"/>
    <n v="0"/>
  </r>
  <r>
    <x v="8"/>
    <x v="36"/>
    <x v="36"/>
    <n v="870"/>
    <x v="0"/>
    <n v="0"/>
  </r>
  <r>
    <x v="8"/>
    <x v="36"/>
    <x v="36"/>
    <n v="872"/>
    <x v="0"/>
    <n v="0"/>
  </r>
  <r>
    <x v="8"/>
    <x v="36"/>
    <x v="36"/>
    <n v="874"/>
    <x v="0"/>
    <n v="0"/>
  </r>
  <r>
    <x v="8"/>
    <x v="36"/>
    <x v="36"/>
    <n v="876"/>
    <x v="0"/>
    <n v="0"/>
  </r>
  <r>
    <x v="8"/>
    <x v="36"/>
    <x v="36"/>
    <n v="878"/>
    <x v="0"/>
    <n v="0"/>
  </r>
  <r>
    <x v="9"/>
    <x v="37"/>
    <x v="37"/>
    <n v="894"/>
    <x v="0"/>
    <n v="0"/>
  </r>
  <r>
    <x v="9"/>
    <x v="37"/>
    <x v="37"/>
    <n v="896"/>
    <x v="0"/>
    <n v="0"/>
  </r>
  <r>
    <x v="9"/>
    <x v="37"/>
    <x v="37"/>
    <n v="898"/>
    <x v="0"/>
    <n v="0"/>
  </r>
  <r>
    <x v="9"/>
    <x v="37"/>
    <x v="37"/>
    <n v="900"/>
    <x v="0"/>
    <n v="0"/>
  </r>
  <r>
    <x v="9"/>
    <x v="37"/>
    <x v="37"/>
    <n v="902"/>
    <x v="0"/>
    <n v="0"/>
  </r>
  <r>
    <x v="9"/>
    <x v="38"/>
    <x v="38"/>
    <n v="918"/>
    <x v="0"/>
    <n v="0"/>
  </r>
  <r>
    <x v="9"/>
    <x v="38"/>
    <x v="38"/>
    <n v="920"/>
    <x v="0"/>
    <n v="0"/>
  </r>
  <r>
    <x v="9"/>
    <x v="38"/>
    <x v="38"/>
    <n v="922"/>
    <x v="0"/>
    <n v="0"/>
  </r>
  <r>
    <x v="9"/>
    <x v="38"/>
    <x v="38"/>
    <n v="924"/>
    <x v="0"/>
    <n v="0"/>
  </r>
  <r>
    <x v="9"/>
    <x v="38"/>
    <x v="38"/>
    <n v="926"/>
    <x v="0"/>
    <n v="0"/>
  </r>
  <r>
    <x v="9"/>
    <x v="39"/>
    <x v="39"/>
    <n v="942"/>
    <x v="0"/>
    <n v="0"/>
  </r>
  <r>
    <x v="9"/>
    <x v="39"/>
    <x v="39"/>
    <n v="944"/>
    <x v="0"/>
    <n v="0"/>
  </r>
  <r>
    <x v="9"/>
    <x v="39"/>
    <x v="39"/>
    <n v="946"/>
    <x v="0"/>
    <n v="0"/>
  </r>
  <r>
    <x v="9"/>
    <x v="39"/>
    <x v="39"/>
    <n v="948"/>
    <x v="0"/>
    <n v="0"/>
  </r>
  <r>
    <x v="9"/>
    <x v="39"/>
    <x v="39"/>
    <n v="950"/>
    <x v="0"/>
    <n v="0"/>
  </r>
  <r>
    <x v="9"/>
    <x v="40"/>
    <x v="40"/>
    <n v="966"/>
    <x v="0"/>
    <n v="0"/>
  </r>
  <r>
    <x v="9"/>
    <x v="40"/>
    <x v="40"/>
    <n v="968"/>
    <x v="0"/>
    <n v="0"/>
  </r>
  <r>
    <x v="9"/>
    <x v="40"/>
    <x v="40"/>
    <n v="970"/>
    <x v="0"/>
    <n v="0"/>
  </r>
  <r>
    <x v="9"/>
    <x v="40"/>
    <x v="40"/>
    <n v="972"/>
    <x v="0"/>
    <n v="0"/>
  </r>
  <r>
    <x v="9"/>
    <x v="40"/>
    <x v="40"/>
    <n v="974"/>
    <x v="0"/>
    <n v="0"/>
  </r>
  <r>
    <x v="10"/>
    <x v="41"/>
    <x v="41"/>
    <n v="990"/>
    <x v="0"/>
    <n v="0"/>
  </r>
  <r>
    <x v="10"/>
    <x v="41"/>
    <x v="41"/>
    <n v="992"/>
    <x v="0"/>
    <n v="0"/>
  </r>
  <r>
    <x v="10"/>
    <x v="41"/>
    <x v="41"/>
    <n v="994"/>
    <x v="0"/>
    <n v="0"/>
  </r>
  <r>
    <x v="10"/>
    <x v="41"/>
    <x v="41"/>
    <n v="996"/>
    <x v="0"/>
    <n v="0"/>
  </r>
  <r>
    <x v="10"/>
    <x v="41"/>
    <x v="41"/>
    <n v="998"/>
    <x v="0"/>
    <n v="0"/>
  </r>
  <r>
    <x v="10"/>
    <x v="42"/>
    <x v="42"/>
    <n v="1014"/>
    <x v="0"/>
    <n v="0"/>
  </r>
  <r>
    <x v="10"/>
    <x v="42"/>
    <x v="42"/>
    <n v="1016"/>
    <x v="0"/>
    <n v="0"/>
  </r>
  <r>
    <x v="10"/>
    <x v="42"/>
    <x v="42"/>
    <n v="1018"/>
    <x v="0"/>
    <n v="0"/>
  </r>
  <r>
    <x v="10"/>
    <x v="42"/>
    <x v="42"/>
    <n v="1020"/>
    <x v="0"/>
    <n v="0"/>
  </r>
  <r>
    <x v="10"/>
    <x v="42"/>
    <x v="42"/>
    <n v="1022"/>
    <x v="0"/>
    <n v="0"/>
  </r>
  <r>
    <x v="10"/>
    <x v="43"/>
    <x v="43"/>
    <n v="1038"/>
    <x v="0"/>
    <n v="0"/>
  </r>
  <r>
    <x v="10"/>
    <x v="43"/>
    <x v="43"/>
    <n v="1040"/>
    <x v="0"/>
    <n v="0"/>
  </r>
  <r>
    <x v="10"/>
    <x v="43"/>
    <x v="43"/>
    <n v="1042"/>
    <x v="0"/>
    <n v="0"/>
  </r>
  <r>
    <x v="10"/>
    <x v="43"/>
    <x v="43"/>
    <n v="1044"/>
    <x v="0"/>
    <n v="0"/>
  </r>
  <r>
    <x v="10"/>
    <x v="43"/>
    <x v="43"/>
    <n v="1046"/>
    <x v="0"/>
    <n v="0"/>
  </r>
  <r>
    <x v="10"/>
    <x v="44"/>
    <x v="44"/>
    <n v="1062"/>
    <x v="0"/>
    <n v="0"/>
  </r>
  <r>
    <x v="10"/>
    <x v="44"/>
    <x v="44"/>
    <n v="1064"/>
    <x v="0"/>
    <n v="0"/>
  </r>
  <r>
    <x v="10"/>
    <x v="44"/>
    <x v="44"/>
    <n v="1066"/>
    <x v="0"/>
    <n v="0"/>
  </r>
  <r>
    <x v="10"/>
    <x v="44"/>
    <x v="44"/>
    <n v="1068"/>
    <x v="0"/>
    <n v="0"/>
  </r>
  <r>
    <x v="10"/>
    <x v="44"/>
    <x v="44"/>
    <n v="1070"/>
    <x v="0"/>
    <n v="0"/>
  </r>
  <r>
    <x v="11"/>
    <x v="45"/>
    <x v="45"/>
    <n v="1086"/>
    <x v="0"/>
    <n v="0"/>
  </r>
  <r>
    <x v="11"/>
    <x v="45"/>
    <x v="45"/>
    <n v="1088"/>
    <x v="0"/>
    <n v="0"/>
  </r>
  <r>
    <x v="11"/>
    <x v="45"/>
    <x v="45"/>
    <n v="1090"/>
    <x v="0"/>
    <n v="0"/>
  </r>
  <r>
    <x v="11"/>
    <x v="45"/>
    <x v="45"/>
    <n v="1092"/>
    <x v="0"/>
    <n v="0"/>
  </r>
  <r>
    <x v="11"/>
    <x v="45"/>
    <x v="45"/>
    <n v="1094"/>
    <x v="0"/>
    <n v="0"/>
  </r>
  <r>
    <x v="11"/>
    <x v="46"/>
    <x v="46"/>
    <n v="1110"/>
    <x v="0"/>
    <n v="0"/>
  </r>
  <r>
    <x v="11"/>
    <x v="46"/>
    <x v="46"/>
    <n v="1112"/>
    <x v="0"/>
    <n v="0"/>
  </r>
  <r>
    <x v="11"/>
    <x v="46"/>
    <x v="46"/>
    <n v="1114"/>
    <x v="0"/>
    <n v="0"/>
  </r>
  <r>
    <x v="11"/>
    <x v="46"/>
    <x v="46"/>
    <n v="1116"/>
    <x v="0"/>
    <n v="0"/>
  </r>
  <r>
    <x v="11"/>
    <x v="46"/>
    <x v="46"/>
    <n v="1118"/>
    <x v="0"/>
    <n v="0"/>
  </r>
  <r>
    <x v="11"/>
    <x v="47"/>
    <x v="47"/>
    <n v="1134"/>
    <x v="0"/>
    <n v="0"/>
  </r>
  <r>
    <x v="11"/>
    <x v="47"/>
    <x v="47"/>
    <n v="1136"/>
    <x v="0"/>
    <n v="0"/>
  </r>
  <r>
    <x v="11"/>
    <x v="47"/>
    <x v="47"/>
    <n v="1138"/>
    <x v="0"/>
    <n v="0"/>
  </r>
  <r>
    <x v="11"/>
    <x v="47"/>
    <x v="47"/>
    <n v="1140"/>
    <x v="0"/>
    <n v="0"/>
  </r>
  <r>
    <x v="11"/>
    <x v="47"/>
    <x v="47"/>
    <n v="1142"/>
    <x v="0"/>
    <n v="0"/>
  </r>
  <r>
    <x v="11"/>
    <x v="48"/>
    <x v="48"/>
    <n v="1158"/>
    <x v="0"/>
    <n v="0"/>
  </r>
  <r>
    <x v="11"/>
    <x v="48"/>
    <x v="48"/>
    <n v="1160"/>
    <x v="0"/>
    <n v="0"/>
  </r>
  <r>
    <x v="11"/>
    <x v="48"/>
    <x v="48"/>
    <n v="1162"/>
    <x v="0"/>
    <n v="0"/>
  </r>
  <r>
    <x v="11"/>
    <x v="48"/>
    <x v="48"/>
    <n v="1164"/>
    <x v="0"/>
    <n v="0"/>
  </r>
  <r>
    <x v="11"/>
    <x v="48"/>
    <x v="48"/>
    <n v="1166"/>
    <x v="0"/>
    <n v="0"/>
  </r>
  <r>
    <x v="11"/>
    <x v="49"/>
    <x v="49"/>
    <n v="1182"/>
    <x v="0"/>
    <n v="0"/>
  </r>
  <r>
    <x v="11"/>
    <x v="49"/>
    <x v="49"/>
    <n v="1184"/>
    <x v="0"/>
    <n v="0"/>
  </r>
  <r>
    <x v="11"/>
    <x v="49"/>
    <x v="49"/>
    <n v="1186"/>
    <x v="0"/>
    <n v="0"/>
  </r>
  <r>
    <x v="11"/>
    <x v="49"/>
    <x v="49"/>
    <n v="1188"/>
    <x v="0"/>
    <n v="0"/>
  </r>
  <r>
    <x v="11"/>
    <x v="49"/>
    <x v="49"/>
    <n v="1190"/>
    <x v="0"/>
    <n v="0"/>
  </r>
  <r>
    <x v="12"/>
    <x v="50"/>
    <x v="50"/>
    <n v="1206"/>
    <x v="0"/>
    <n v="0"/>
  </r>
  <r>
    <x v="12"/>
    <x v="50"/>
    <x v="50"/>
    <n v="1208"/>
    <x v="0"/>
    <n v="0"/>
  </r>
  <r>
    <x v="12"/>
    <x v="50"/>
    <x v="50"/>
    <n v="1210"/>
    <x v="0"/>
    <n v="0"/>
  </r>
  <r>
    <x v="12"/>
    <x v="50"/>
    <x v="50"/>
    <n v="1212"/>
    <x v="0"/>
    <n v="0"/>
  </r>
  <r>
    <x v="12"/>
    <x v="50"/>
    <x v="50"/>
    <n v="1214"/>
    <x v="0"/>
    <n v="0"/>
  </r>
  <r>
    <x v="12"/>
    <x v="51"/>
    <x v="51"/>
    <n v="1230"/>
    <x v="0"/>
    <n v="0"/>
  </r>
  <r>
    <x v="12"/>
    <x v="51"/>
    <x v="51"/>
    <n v="1232"/>
    <x v="0"/>
    <n v="0"/>
  </r>
  <r>
    <x v="12"/>
    <x v="51"/>
    <x v="51"/>
    <n v="1234"/>
    <x v="0"/>
    <n v="0"/>
  </r>
  <r>
    <x v="12"/>
    <x v="51"/>
    <x v="51"/>
    <n v="1236"/>
    <x v="0"/>
    <n v="0"/>
  </r>
  <r>
    <x v="12"/>
    <x v="51"/>
    <x v="51"/>
    <n v="1238"/>
    <x v="0"/>
    <n v="0"/>
  </r>
  <r>
    <x v="12"/>
    <x v="52"/>
    <x v="52"/>
    <n v="1254"/>
    <x v="0"/>
    <n v="0"/>
  </r>
  <r>
    <x v="12"/>
    <x v="52"/>
    <x v="52"/>
    <n v="1256"/>
    <x v="0"/>
    <n v="0"/>
  </r>
  <r>
    <x v="12"/>
    <x v="52"/>
    <x v="52"/>
    <n v="1258"/>
    <x v="0"/>
    <n v="0"/>
  </r>
  <r>
    <x v="12"/>
    <x v="52"/>
    <x v="52"/>
    <n v="1260"/>
    <x v="0"/>
    <n v="0"/>
  </r>
  <r>
    <x v="12"/>
    <x v="52"/>
    <x v="52"/>
    <n v="1262"/>
    <x v="0"/>
    <n v="0"/>
  </r>
  <r>
    <x v="12"/>
    <x v="53"/>
    <x v="53"/>
    <n v="1278"/>
    <x v="0"/>
    <n v="0"/>
  </r>
  <r>
    <x v="12"/>
    <x v="53"/>
    <x v="53"/>
    <n v="1280"/>
    <x v="0"/>
    <n v="0"/>
  </r>
  <r>
    <x v="12"/>
    <x v="53"/>
    <x v="53"/>
    <n v="1282"/>
    <x v="0"/>
    <n v="0"/>
  </r>
  <r>
    <x v="12"/>
    <x v="53"/>
    <x v="53"/>
    <n v="1284"/>
    <x v="0"/>
    <n v="0"/>
  </r>
  <r>
    <x v="12"/>
    <x v="53"/>
    <x v="53"/>
    <n v="1286"/>
    <x v="0"/>
    <n v="0"/>
  </r>
  <r>
    <x v="13"/>
    <x v="54"/>
    <x v="54"/>
    <n v="1302"/>
    <x v="0"/>
    <n v="0"/>
  </r>
  <r>
    <x v="13"/>
    <x v="54"/>
    <x v="54"/>
    <n v="1304"/>
    <x v="0"/>
    <n v="0"/>
  </r>
  <r>
    <x v="13"/>
    <x v="54"/>
    <x v="54"/>
    <n v="1306"/>
    <x v="0"/>
    <n v="0"/>
  </r>
  <r>
    <x v="13"/>
    <x v="54"/>
    <x v="54"/>
    <n v="1308"/>
    <x v="0"/>
    <n v="0"/>
  </r>
  <r>
    <x v="13"/>
    <x v="54"/>
    <x v="54"/>
    <n v="1310"/>
    <x v="0"/>
    <n v="0"/>
  </r>
  <r>
    <x v="13"/>
    <x v="55"/>
    <x v="55"/>
    <n v="1326"/>
    <x v="0"/>
    <n v="0"/>
  </r>
  <r>
    <x v="13"/>
    <x v="55"/>
    <x v="55"/>
    <n v="1328"/>
    <x v="0"/>
    <n v="0"/>
  </r>
  <r>
    <x v="13"/>
    <x v="55"/>
    <x v="55"/>
    <n v="1330"/>
    <x v="0"/>
    <n v="0"/>
  </r>
  <r>
    <x v="13"/>
    <x v="55"/>
    <x v="55"/>
    <n v="1332"/>
    <x v="0"/>
    <n v="0"/>
  </r>
  <r>
    <x v="13"/>
    <x v="55"/>
    <x v="55"/>
    <n v="1334"/>
    <x v="0"/>
    <n v="0"/>
  </r>
  <r>
    <x v="13"/>
    <x v="56"/>
    <x v="56"/>
    <n v="1350"/>
    <x v="0"/>
    <n v="0"/>
  </r>
  <r>
    <x v="13"/>
    <x v="56"/>
    <x v="56"/>
    <n v="1352"/>
    <x v="0"/>
    <n v="0"/>
  </r>
  <r>
    <x v="13"/>
    <x v="56"/>
    <x v="56"/>
    <n v="1354"/>
    <x v="0"/>
    <n v="0"/>
  </r>
  <r>
    <x v="13"/>
    <x v="56"/>
    <x v="56"/>
    <n v="1356"/>
    <x v="0"/>
    <n v="0"/>
  </r>
  <r>
    <x v="13"/>
    <x v="56"/>
    <x v="56"/>
    <n v="1358"/>
    <x v="0"/>
    <n v="0"/>
  </r>
  <r>
    <x v="13"/>
    <x v="57"/>
    <x v="57"/>
    <n v="1374"/>
    <x v="0"/>
    <n v="0"/>
  </r>
  <r>
    <x v="13"/>
    <x v="57"/>
    <x v="57"/>
    <n v="1376"/>
    <x v="0"/>
    <n v="0"/>
  </r>
  <r>
    <x v="13"/>
    <x v="57"/>
    <x v="57"/>
    <n v="1378"/>
    <x v="0"/>
    <n v="0"/>
  </r>
  <r>
    <x v="13"/>
    <x v="57"/>
    <x v="57"/>
    <n v="1380"/>
    <x v="0"/>
    <n v="0"/>
  </r>
  <r>
    <x v="13"/>
    <x v="57"/>
    <x v="57"/>
    <n v="1382"/>
    <x v="0"/>
    <n v="0"/>
  </r>
  <r>
    <x v="14"/>
    <x v="58"/>
    <x v="58"/>
    <n v="1398"/>
    <x v="0"/>
    <n v="0"/>
  </r>
  <r>
    <x v="14"/>
    <x v="58"/>
    <x v="58"/>
    <n v="1400"/>
    <x v="0"/>
    <n v="0"/>
  </r>
  <r>
    <x v="14"/>
    <x v="58"/>
    <x v="58"/>
    <n v="1402"/>
    <x v="0"/>
    <n v="0"/>
  </r>
  <r>
    <x v="14"/>
    <x v="58"/>
    <x v="58"/>
    <n v="1404"/>
    <x v="0"/>
    <n v="0"/>
  </r>
  <r>
    <x v="14"/>
    <x v="58"/>
    <x v="58"/>
    <n v="1406"/>
    <x v="0"/>
    <n v="0"/>
  </r>
  <r>
    <x v="14"/>
    <x v="59"/>
    <x v="59"/>
    <n v="1422"/>
    <x v="0"/>
    <n v="0"/>
  </r>
  <r>
    <x v="14"/>
    <x v="59"/>
    <x v="59"/>
    <n v="1424"/>
    <x v="0"/>
    <n v="0"/>
  </r>
  <r>
    <x v="14"/>
    <x v="59"/>
    <x v="59"/>
    <n v="1426"/>
    <x v="0"/>
    <n v="0"/>
  </r>
  <r>
    <x v="14"/>
    <x v="59"/>
    <x v="59"/>
    <n v="1428"/>
    <x v="0"/>
    <n v="0"/>
  </r>
  <r>
    <x v="14"/>
    <x v="59"/>
    <x v="59"/>
    <n v="1430"/>
    <x v="0"/>
    <n v="0"/>
  </r>
  <r>
    <x v="14"/>
    <x v="60"/>
    <x v="60"/>
    <n v="1446"/>
    <x v="0"/>
    <n v="0"/>
  </r>
  <r>
    <x v="14"/>
    <x v="60"/>
    <x v="60"/>
    <n v="1448"/>
    <x v="0"/>
    <n v="0"/>
  </r>
  <r>
    <x v="14"/>
    <x v="60"/>
    <x v="60"/>
    <n v="1450"/>
    <x v="0"/>
    <n v="0"/>
  </r>
  <r>
    <x v="14"/>
    <x v="60"/>
    <x v="60"/>
    <n v="1452"/>
    <x v="0"/>
    <n v="0"/>
  </r>
  <r>
    <x v="14"/>
    <x v="60"/>
    <x v="60"/>
    <n v="1454"/>
    <x v="0"/>
    <n v="0"/>
  </r>
  <r>
    <x v="14"/>
    <x v="61"/>
    <x v="61"/>
    <n v="1470"/>
    <x v="0"/>
    <n v="0"/>
  </r>
  <r>
    <x v="14"/>
    <x v="61"/>
    <x v="61"/>
    <n v="1472"/>
    <x v="0"/>
    <n v="0"/>
  </r>
  <r>
    <x v="14"/>
    <x v="61"/>
    <x v="61"/>
    <n v="1474"/>
    <x v="0"/>
    <n v="0"/>
  </r>
  <r>
    <x v="14"/>
    <x v="61"/>
    <x v="61"/>
    <n v="1476"/>
    <x v="0"/>
    <n v="0"/>
  </r>
  <r>
    <x v="14"/>
    <x v="61"/>
    <x v="61"/>
    <n v="1478"/>
    <x v="0"/>
    <n v="0"/>
  </r>
  <r>
    <x v="14"/>
    <x v="62"/>
    <x v="62"/>
    <n v="1494"/>
    <x v="0"/>
    <n v="0"/>
  </r>
  <r>
    <x v="14"/>
    <x v="62"/>
    <x v="62"/>
    <n v="1496"/>
    <x v="0"/>
    <n v="0"/>
  </r>
  <r>
    <x v="14"/>
    <x v="62"/>
    <x v="62"/>
    <n v="1498"/>
    <x v="0"/>
    <n v="0"/>
  </r>
  <r>
    <x v="14"/>
    <x v="62"/>
    <x v="62"/>
    <n v="1500"/>
    <x v="0"/>
    <n v="0"/>
  </r>
  <r>
    <x v="14"/>
    <x v="62"/>
    <x v="62"/>
    <n v="1502"/>
    <x v="0"/>
    <n v="0"/>
  </r>
  <r>
    <x v="15"/>
    <x v="63"/>
    <x v="63"/>
    <n v="1518"/>
    <x v="0"/>
    <n v="0"/>
  </r>
  <r>
    <x v="15"/>
    <x v="63"/>
    <x v="63"/>
    <n v="1520"/>
    <x v="0"/>
    <n v="0"/>
  </r>
  <r>
    <x v="15"/>
    <x v="63"/>
    <x v="63"/>
    <n v="1522"/>
    <x v="0"/>
    <n v="0"/>
  </r>
  <r>
    <x v="15"/>
    <x v="63"/>
    <x v="63"/>
    <n v="1524"/>
    <x v="0"/>
    <n v="0"/>
  </r>
  <r>
    <x v="15"/>
    <x v="63"/>
    <x v="63"/>
    <n v="1526"/>
    <x v="0"/>
    <n v="0"/>
  </r>
  <r>
    <x v="15"/>
    <x v="64"/>
    <x v="64"/>
    <n v="1542"/>
    <x v="0"/>
    <n v="0"/>
  </r>
  <r>
    <x v="15"/>
    <x v="64"/>
    <x v="64"/>
    <n v="1544"/>
    <x v="0"/>
    <n v="0"/>
  </r>
  <r>
    <x v="15"/>
    <x v="64"/>
    <x v="64"/>
    <n v="1546"/>
    <x v="0"/>
    <n v="0"/>
  </r>
  <r>
    <x v="15"/>
    <x v="64"/>
    <x v="64"/>
    <n v="1548"/>
    <x v="0"/>
    <n v="0"/>
  </r>
  <r>
    <x v="15"/>
    <x v="64"/>
    <x v="64"/>
    <n v="1550"/>
    <x v="0"/>
    <n v="0"/>
  </r>
  <r>
    <x v="15"/>
    <x v="65"/>
    <x v="65"/>
    <n v="1566"/>
    <x v="0"/>
    <n v="0"/>
  </r>
  <r>
    <x v="15"/>
    <x v="65"/>
    <x v="65"/>
    <n v="1568"/>
    <x v="0"/>
    <n v="0"/>
  </r>
  <r>
    <x v="15"/>
    <x v="65"/>
    <x v="65"/>
    <n v="1570"/>
    <x v="0"/>
    <n v="0"/>
  </r>
  <r>
    <x v="15"/>
    <x v="65"/>
    <x v="65"/>
    <n v="1572"/>
    <x v="0"/>
    <n v="0"/>
  </r>
  <r>
    <x v="15"/>
    <x v="65"/>
    <x v="65"/>
    <n v="1574"/>
    <x v="0"/>
    <n v="0"/>
  </r>
  <r>
    <x v="15"/>
    <x v="66"/>
    <x v="66"/>
    <n v="1590"/>
    <x v="0"/>
    <n v="0"/>
  </r>
  <r>
    <x v="15"/>
    <x v="66"/>
    <x v="66"/>
    <n v="1592"/>
    <x v="0"/>
    <n v="0"/>
  </r>
  <r>
    <x v="15"/>
    <x v="66"/>
    <x v="66"/>
    <n v="1594"/>
    <x v="0"/>
    <n v="0"/>
  </r>
  <r>
    <x v="15"/>
    <x v="66"/>
    <x v="66"/>
    <n v="1596"/>
    <x v="0"/>
    <n v="0"/>
  </r>
  <r>
    <x v="15"/>
    <x v="66"/>
    <x v="66"/>
    <n v="1598"/>
    <x v="0"/>
    <n v="0"/>
  </r>
  <r>
    <x v="16"/>
    <x v="67"/>
    <x v="67"/>
    <n v="1614"/>
    <x v="0"/>
    <n v="0"/>
  </r>
  <r>
    <x v="16"/>
    <x v="67"/>
    <x v="67"/>
    <n v="1616"/>
    <x v="0"/>
    <n v="0"/>
  </r>
  <r>
    <x v="16"/>
    <x v="67"/>
    <x v="67"/>
    <n v="1618"/>
    <x v="0"/>
    <n v="0"/>
  </r>
  <r>
    <x v="16"/>
    <x v="67"/>
    <x v="67"/>
    <n v="1620"/>
    <x v="0"/>
    <n v="0"/>
  </r>
  <r>
    <x v="16"/>
    <x v="67"/>
    <x v="67"/>
    <n v="1622"/>
    <x v="0"/>
    <n v="0"/>
  </r>
  <r>
    <x v="16"/>
    <x v="68"/>
    <x v="68"/>
    <n v="1638"/>
    <x v="0"/>
    <n v="0"/>
  </r>
  <r>
    <x v="16"/>
    <x v="68"/>
    <x v="68"/>
    <n v="1640"/>
    <x v="0"/>
    <n v="0"/>
  </r>
  <r>
    <x v="16"/>
    <x v="68"/>
    <x v="68"/>
    <n v="1642"/>
    <x v="0"/>
    <n v="0"/>
  </r>
  <r>
    <x v="16"/>
    <x v="68"/>
    <x v="68"/>
    <n v="1644"/>
    <x v="0"/>
    <n v="0"/>
  </r>
  <r>
    <x v="16"/>
    <x v="68"/>
    <x v="68"/>
    <n v="1646"/>
    <x v="0"/>
    <n v="0"/>
  </r>
  <r>
    <x v="16"/>
    <x v="69"/>
    <x v="69"/>
    <n v="1662"/>
    <x v="0"/>
    <n v="0"/>
  </r>
  <r>
    <x v="16"/>
    <x v="69"/>
    <x v="69"/>
    <n v="1664"/>
    <x v="0"/>
    <n v="0"/>
  </r>
  <r>
    <x v="16"/>
    <x v="69"/>
    <x v="69"/>
    <n v="1666"/>
    <x v="0"/>
    <n v="0"/>
  </r>
  <r>
    <x v="16"/>
    <x v="69"/>
    <x v="69"/>
    <n v="1668"/>
    <x v="0"/>
    <n v="0"/>
  </r>
  <r>
    <x v="16"/>
    <x v="69"/>
    <x v="69"/>
    <n v="1670"/>
    <x v="0"/>
    <n v="0"/>
  </r>
  <r>
    <x v="16"/>
    <x v="70"/>
    <x v="70"/>
    <n v="1686"/>
    <x v="0"/>
    <n v="0"/>
  </r>
  <r>
    <x v="16"/>
    <x v="70"/>
    <x v="70"/>
    <n v="1688"/>
    <x v="0"/>
    <n v="0"/>
  </r>
  <r>
    <x v="16"/>
    <x v="70"/>
    <x v="70"/>
    <n v="1690"/>
    <x v="0"/>
    <n v="0"/>
  </r>
  <r>
    <x v="16"/>
    <x v="70"/>
    <x v="70"/>
    <n v="1692"/>
    <x v="0"/>
    <n v="0"/>
  </r>
  <r>
    <x v="16"/>
    <x v="70"/>
    <x v="70"/>
    <n v="1694"/>
    <x v="0"/>
    <n v="0"/>
  </r>
  <r>
    <x v="17"/>
    <x v="71"/>
    <x v="71"/>
    <n v="1710"/>
    <x v="0"/>
    <n v="0"/>
  </r>
  <r>
    <x v="17"/>
    <x v="71"/>
    <x v="71"/>
    <n v="1712"/>
    <x v="0"/>
    <n v="0"/>
  </r>
  <r>
    <x v="17"/>
    <x v="71"/>
    <x v="71"/>
    <n v="1714"/>
    <x v="0"/>
    <n v="0"/>
  </r>
  <r>
    <x v="17"/>
    <x v="71"/>
    <x v="71"/>
    <n v="1716"/>
    <x v="0"/>
    <n v="0"/>
  </r>
  <r>
    <x v="17"/>
    <x v="71"/>
    <x v="71"/>
    <n v="1718"/>
    <x v="0"/>
    <n v="0"/>
  </r>
  <r>
    <x v="17"/>
    <x v="72"/>
    <x v="72"/>
    <n v="1734"/>
    <x v="0"/>
    <n v="0"/>
  </r>
  <r>
    <x v="17"/>
    <x v="72"/>
    <x v="72"/>
    <n v="1736"/>
    <x v="0"/>
    <n v="0"/>
  </r>
  <r>
    <x v="17"/>
    <x v="72"/>
    <x v="72"/>
    <n v="1738"/>
    <x v="0"/>
    <n v="0"/>
  </r>
  <r>
    <x v="17"/>
    <x v="72"/>
    <x v="72"/>
    <n v="1740"/>
    <x v="0"/>
    <n v="0"/>
  </r>
  <r>
    <x v="17"/>
    <x v="72"/>
    <x v="72"/>
    <n v="1742"/>
    <x v="0"/>
    <n v="0"/>
  </r>
  <r>
    <x v="17"/>
    <x v="73"/>
    <x v="73"/>
    <n v="1758"/>
    <x v="0"/>
    <n v="0"/>
  </r>
  <r>
    <x v="17"/>
    <x v="73"/>
    <x v="73"/>
    <n v="1760"/>
    <x v="0"/>
    <n v="0"/>
  </r>
  <r>
    <x v="17"/>
    <x v="73"/>
    <x v="73"/>
    <n v="1762"/>
    <x v="0"/>
    <n v="0"/>
  </r>
  <r>
    <x v="17"/>
    <x v="73"/>
    <x v="73"/>
    <n v="1764"/>
    <x v="0"/>
    <n v="0"/>
  </r>
  <r>
    <x v="17"/>
    <x v="73"/>
    <x v="73"/>
    <n v="1766"/>
    <x v="0"/>
    <n v="0"/>
  </r>
  <r>
    <x v="17"/>
    <x v="74"/>
    <x v="74"/>
    <n v="1782"/>
    <x v="0"/>
    <n v="0"/>
  </r>
  <r>
    <x v="17"/>
    <x v="74"/>
    <x v="74"/>
    <n v="1784"/>
    <x v="0"/>
    <n v="0"/>
  </r>
  <r>
    <x v="17"/>
    <x v="74"/>
    <x v="74"/>
    <n v="1786"/>
    <x v="0"/>
    <n v="0"/>
  </r>
  <r>
    <x v="17"/>
    <x v="74"/>
    <x v="74"/>
    <n v="1788"/>
    <x v="0"/>
    <n v="0"/>
  </r>
  <r>
    <x v="17"/>
    <x v="74"/>
    <x v="74"/>
    <n v="1790"/>
    <x v="0"/>
    <n v="0"/>
  </r>
  <r>
    <x v="17"/>
    <x v="75"/>
    <x v="75"/>
    <n v="1806"/>
    <x v="0"/>
    <n v="0"/>
  </r>
  <r>
    <x v="17"/>
    <x v="75"/>
    <x v="75"/>
    <n v="1808"/>
    <x v="0"/>
    <n v="0"/>
  </r>
  <r>
    <x v="17"/>
    <x v="75"/>
    <x v="75"/>
    <n v="1810"/>
    <x v="0"/>
    <n v="0"/>
  </r>
  <r>
    <x v="17"/>
    <x v="75"/>
    <x v="75"/>
    <n v="1812"/>
    <x v="0"/>
    <n v="0"/>
  </r>
  <r>
    <x v="17"/>
    <x v="75"/>
    <x v="75"/>
    <n v="1814"/>
    <x v="0"/>
    <n v="0"/>
  </r>
  <r>
    <x v="18"/>
    <x v="76"/>
    <x v="76"/>
    <n v="1830"/>
    <x v="0"/>
    <n v="0"/>
  </r>
  <r>
    <x v="18"/>
    <x v="76"/>
    <x v="76"/>
    <n v="1832"/>
    <x v="0"/>
    <n v="0"/>
  </r>
  <r>
    <x v="18"/>
    <x v="76"/>
    <x v="76"/>
    <n v="1834"/>
    <x v="0"/>
    <n v="0"/>
  </r>
  <r>
    <x v="18"/>
    <x v="76"/>
    <x v="76"/>
    <n v="1836"/>
    <x v="0"/>
    <n v="0"/>
  </r>
  <r>
    <x v="18"/>
    <x v="76"/>
    <x v="76"/>
    <n v="1838"/>
    <x v="0"/>
    <n v="0"/>
  </r>
  <r>
    <x v="18"/>
    <x v="77"/>
    <x v="77"/>
    <n v="1854"/>
    <x v="0"/>
    <n v="0"/>
  </r>
  <r>
    <x v="18"/>
    <x v="77"/>
    <x v="77"/>
    <n v="1856"/>
    <x v="0"/>
    <n v="0"/>
  </r>
  <r>
    <x v="18"/>
    <x v="77"/>
    <x v="77"/>
    <n v="1858"/>
    <x v="0"/>
    <n v="0"/>
  </r>
  <r>
    <x v="18"/>
    <x v="77"/>
    <x v="77"/>
    <n v="1860"/>
    <x v="0"/>
    <n v="0"/>
  </r>
  <r>
    <x v="18"/>
    <x v="77"/>
    <x v="77"/>
    <n v="1862"/>
    <x v="0"/>
    <n v="0"/>
  </r>
  <r>
    <x v="18"/>
    <x v="78"/>
    <x v="78"/>
    <n v="1878"/>
    <x v="0"/>
    <n v="0"/>
  </r>
  <r>
    <x v="18"/>
    <x v="78"/>
    <x v="78"/>
    <n v="1880"/>
    <x v="0"/>
    <n v="0"/>
  </r>
  <r>
    <x v="18"/>
    <x v="78"/>
    <x v="78"/>
    <n v="1882"/>
    <x v="0"/>
    <n v="0"/>
  </r>
  <r>
    <x v="18"/>
    <x v="78"/>
    <x v="78"/>
    <n v="1884"/>
    <x v="0"/>
    <n v="0"/>
  </r>
  <r>
    <x v="18"/>
    <x v="78"/>
    <x v="78"/>
    <n v="1886"/>
    <x v="0"/>
    <n v="0"/>
  </r>
  <r>
    <x v="18"/>
    <x v="79"/>
    <x v="79"/>
    <n v="1902"/>
    <x v="0"/>
    <n v="0"/>
  </r>
  <r>
    <x v="18"/>
    <x v="79"/>
    <x v="79"/>
    <n v="1904"/>
    <x v="0"/>
    <n v="0"/>
  </r>
  <r>
    <x v="18"/>
    <x v="79"/>
    <x v="79"/>
    <n v="1906"/>
    <x v="0"/>
    <n v="0"/>
  </r>
  <r>
    <x v="18"/>
    <x v="79"/>
    <x v="79"/>
    <n v="1908"/>
    <x v="0"/>
    <n v="0"/>
  </r>
  <r>
    <x v="18"/>
    <x v="79"/>
    <x v="79"/>
    <n v="1910"/>
    <x v="0"/>
    <n v="0"/>
  </r>
  <r>
    <x v="19"/>
    <x v="80"/>
    <x v="80"/>
    <n v="1926"/>
    <x v="0"/>
    <n v="0"/>
  </r>
  <r>
    <x v="19"/>
    <x v="80"/>
    <x v="80"/>
    <n v="1928"/>
    <x v="0"/>
    <n v="0"/>
  </r>
  <r>
    <x v="19"/>
    <x v="80"/>
    <x v="80"/>
    <n v="1930"/>
    <x v="0"/>
    <n v="0"/>
  </r>
  <r>
    <x v="19"/>
    <x v="80"/>
    <x v="80"/>
    <n v="1932"/>
    <x v="0"/>
    <n v="0"/>
  </r>
  <r>
    <x v="19"/>
    <x v="80"/>
    <x v="80"/>
    <n v="1934"/>
    <x v="0"/>
    <n v="0"/>
  </r>
  <r>
    <x v="19"/>
    <x v="81"/>
    <x v="81"/>
    <n v="1950"/>
    <x v="0"/>
    <n v="0"/>
  </r>
  <r>
    <x v="19"/>
    <x v="81"/>
    <x v="81"/>
    <n v="1952"/>
    <x v="0"/>
    <n v="0"/>
  </r>
  <r>
    <x v="19"/>
    <x v="81"/>
    <x v="81"/>
    <n v="1954"/>
    <x v="0"/>
    <n v="0"/>
  </r>
  <r>
    <x v="19"/>
    <x v="81"/>
    <x v="81"/>
    <n v="1956"/>
    <x v="0"/>
    <n v="0"/>
  </r>
  <r>
    <x v="19"/>
    <x v="81"/>
    <x v="81"/>
    <n v="1958"/>
    <x v="0"/>
    <n v="0"/>
  </r>
  <r>
    <x v="19"/>
    <x v="82"/>
    <x v="82"/>
    <n v="1974"/>
    <x v="0"/>
    <n v="0"/>
  </r>
  <r>
    <x v="19"/>
    <x v="82"/>
    <x v="82"/>
    <n v="1976"/>
    <x v="0"/>
    <n v="0"/>
  </r>
  <r>
    <x v="19"/>
    <x v="82"/>
    <x v="82"/>
    <n v="1978"/>
    <x v="0"/>
    <n v="0"/>
  </r>
  <r>
    <x v="19"/>
    <x v="82"/>
    <x v="82"/>
    <n v="1980"/>
    <x v="0"/>
    <n v="0"/>
  </r>
  <r>
    <x v="19"/>
    <x v="82"/>
    <x v="82"/>
    <n v="1982"/>
    <x v="0"/>
    <n v="0"/>
  </r>
  <r>
    <x v="19"/>
    <x v="83"/>
    <x v="83"/>
    <n v="1998"/>
    <x v="0"/>
    <n v="0"/>
  </r>
  <r>
    <x v="19"/>
    <x v="83"/>
    <x v="83"/>
    <n v="2000"/>
    <x v="0"/>
    <n v="0"/>
  </r>
  <r>
    <x v="19"/>
    <x v="83"/>
    <x v="83"/>
    <n v="2002"/>
    <x v="0"/>
    <n v="0"/>
  </r>
  <r>
    <x v="19"/>
    <x v="83"/>
    <x v="83"/>
    <n v="2004"/>
    <x v="0"/>
    <n v="0"/>
  </r>
  <r>
    <x v="19"/>
    <x v="83"/>
    <x v="83"/>
    <n v="2006"/>
    <x v="0"/>
    <n v="0"/>
  </r>
  <r>
    <x v="20"/>
    <x v="84"/>
    <x v="84"/>
    <n v="2022"/>
    <x v="0"/>
    <n v="0"/>
  </r>
  <r>
    <x v="20"/>
    <x v="84"/>
    <x v="84"/>
    <n v="2024"/>
    <x v="0"/>
    <n v="0"/>
  </r>
  <r>
    <x v="20"/>
    <x v="84"/>
    <x v="84"/>
    <n v="2026"/>
    <x v="0"/>
    <n v="0"/>
  </r>
  <r>
    <x v="20"/>
    <x v="84"/>
    <x v="84"/>
    <n v="2028"/>
    <x v="0"/>
    <n v="0"/>
  </r>
  <r>
    <x v="20"/>
    <x v="84"/>
    <x v="84"/>
    <n v="2030"/>
    <x v="0"/>
    <n v="0"/>
  </r>
  <r>
    <x v="20"/>
    <x v="85"/>
    <x v="85"/>
    <n v="2046"/>
    <x v="0"/>
    <n v="0"/>
  </r>
  <r>
    <x v="20"/>
    <x v="85"/>
    <x v="85"/>
    <n v="2048"/>
    <x v="0"/>
    <n v="0"/>
  </r>
  <r>
    <x v="20"/>
    <x v="85"/>
    <x v="85"/>
    <n v="2050"/>
    <x v="0"/>
    <n v="0"/>
  </r>
  <r>
    <x v="20"/>
    <x v="85"/>
    <x v="85"/>
    <n v="2052"/>
    <x v="0"/>
    <n v="0"/>
  </r>
  <r>
    <x v="20"/>
    <x v="85"/>
    <x v="85"/>
    <n v="2054"/>
    <x v="0"/>
    <n v="0"/>
  </r>
  <r>
    <x v="20"/>
    <x v="86"/>
    <x v="86"/>
    <n v="2070"/>
    <x v="0"/>
    <n v="0"/>
  </r>
  <r>
    <x v="20"/>
    <x v="86"/>
    <x v="86"/>
    <n v="2072"/>
    <x v="0"/>
    <n v="0"/>
  </r>
  <r>
    <x v="20"/>
    <x v="86"/>
    <x v="86"/>
    <n v="2074"/>
    <x v="0"/>
    <n v="0"/>
  </r>
  <r>
    <x v="20"/>
    <x v="86"/>
    <x v="86"/>
    <n v="2076"/>
    <x v="0"/>
    <n v="0"/>
  </r>
  <r>
    <x v="20"/>
    <x v="86"/>
    <x v="86"/>
    <n v="2078"/>
    <x v="0"/>
    <n v="0"/>
  </r>
  <r>
    <x v="20"/>
    <x v="87"/>
    <x v="87"/>
    <n v="2094"/>
    <x v="0"/>
    <n v="0"/>
  </r>
  <r>
    <x v="20"/>
    <x v="87"/>
    <x v="87"/>
    <n v="2096"/>
    <x v="0"/>
    <n v="0"/>
  </r>
  <r>
    <x v="20"/>
    <x v="87"/>
    <x v="87"/>
    <n v="2098"/>
    <x v="0"/>
    <n v="0"/>
  </r>
  <r>
    <x v="20"/>
    <x v="87"/>
    <x v="87"/>
    <n v="2100"/>
    <x v="0"/>
    <n v="0"/>
  </r>
  <r>
    <x v="20"/>
    <x v="87"/>
    <x v="87"/>
    <n v="2102"/>
    <x v="0"/>
    <n v="0"/>
  </r>
  <r>
    <x v="20"/>
    <x v="88"/>
    <x v="88"/>
    <n v="2118"/>
    <x v="0"/>
    <n v="0"/>
  </r>
  <r>
    <x v="20"/>
    <x v="88"/>
    <x v="88"/>
    <n v="2120"/>
    <x v="0"/>
    <n v="0"/>
  </r>
  <r>
    <x v="20"/>
    <x v="88"/>
    <x v="88"/>
    <n v="2122"/>
    <x v="0"/>
    <n v="0"/>
  </r>
  <r>
    <x v="20"/>
    <x v="88"/>
    <x v="88"/>
    <n v="2124"/>
    <x v="0"/>
    <n v="0"/>
  </r>
  <r>
    <x v="20"/>
    <x v="88"/>
    <x v="88"/>
    <n v="2126"/>
    <x v="0"/>
    <n v="0"/>
  </r>
  <r>
    <x v="21"/>
    <x v="89"/>
    <x v="89"/>
    <n v="2142"/>
    <x v="0"/>
    <n v="0"/>
  </r>
  <r>
    <x v="21"/>
    <x v="89"/>
    <x v="89"/>
    <n v="2144"/>
    <x v="0"/>
    <n v="0"/>
  </r>
  <r>
    <x v="21"/>
    <x v="89"/>
    <x v="89"/>
    <n v="2146"/>
    <x v="0"/>
    <n v="0"/>
  </r>
  <r>
    <x v="21"/>
    <x v="89"/>
    <x v="89"/>
    <n v="2148"/>
    <x v="0"/>
    <n v="0"/>
  </r>
  <r>
    <x v="21"/>
    <x v="89"/>
    <x v="89"/>
    <n v="2150"/>
    <x v="0"/>
    <n v="0"/>
  </r>
  <r>
    <x v="21"/>
    <x v="90"/>
    <x v="90"/>
    <n v="2166"/>
    <x v="0"/>
    <n v="0"/>
  </r>
  <r>
    <x v="21"/>
    <x v="90"/>
    <x v="90"/>
    <n v="2168"/>
    <x v="0"/>
    <n v="0"/>
  </r>
  <r>
    <x v="21"/>
    <x v="90"/>
    <x v="90"/>
    <n v="2170"/>
    <x v="0"/>
    <n v="0"/>
  </r>
  <r>
    <x v="21"/>
    <x v="90"/>
    <x v="90"/>
    <n v="2172"/>
    <x v="0"/>
    <n v="0"/>
  </r>
  <r>
    <x v="21"/>
    <x v="90"/>
    <x v="90"/>
    <n v="2174"/>
    <x v="0"/>
    <n v="0"/>
  </r>
  <r>
    <x v="21"/>
    <x v="91"/>
    <x v="91"/>
    <n v="2190"/>
    <x v="0"/>
    <n v="0"/>
  </r>
  <r>
    <x v="21"/>
    <x v="91"/>
    <x v="91"/>
    <n v="2192"/>
    <x v="0"/>
    <n v="0"/>
  </r>
  <r>
    <x v="21"/>
    <x v="91"/>
    <x v="91"/>
    <n v="2194"/>
    <x v="0"/>
    <n v="0"/>
  </r>
  <r>
    <x v="21"/>
    <x v="91"/>
    <x v="91"/>
    <n v="2196"/>
    <x v="0"/>
    <n v="0"/>
  </r>
  <r>
    <x v="21"/>
    <x v="91"/>
    <x v="91"/>
    <n v="2198"/>
    <x v="0"/>
    <n v="0"/>
  </r>
  <r>
    <x v="21"/>
    <x v="92"/>
    <x v="92"/>
    <n v="2214"/>
    <x v="0"/>
    <n v="0"/>
  </r>
  <r>
    <x v="21"/>
    <x v="92"/>
    <x v="92"/>
    <n v="2216"/>
    <x v="0"/>
    <n v="0"/>
  </r>
  <r>
    <x v="21"/>
    <x v="92"/>
    <x v="92"/>
    <n v="2218"/>
    <x v="0"/>
    <n v="0"/>
  </r>
  <r>
    <x v="21"/>
    <x v="92"/>
    <x v="92"/>
    <n v="2220"/>
    <x v="0"/>
    <n v="0"/>
  </r>
  <r>
    <x v="21"/>
    <x v="92"/>
    <x v="92"/>
    <n v="2222"/>
    <x v="0"/>
    <n v="0"/>
  </r>
  <r>
    <x v="22"/>
    <x v="93"/>
    <x v="93"/>
    <n v="2238"/>
    <x v="0"/>
    <n v="0"/>
  </r>
  <r>
    <x v="22"/>
    <x v="93"/>
    <x v="93"/>
    <n v="2240"/>
    <x v="0"/>
    <n v="0"/>
  </r>
  <r>
    <x v="22"/>
    <x v="93"/>
    <x v="93"/>
    <n v="2242"/>
    <x v="0"/>
    <n v="0"/>
  </r>
  <r>
    <x v="22"/>
    <x v="93"/>
    <x v="93"/>
    <n v="2244"/>
    <x v="0"/>
    <n v="0"/>
  </r>
  <r>
    <x v="22"/>
    <x v="93"/>
    <x v="93"/>
    <n v="2246"/>
    <x v="0"/>
    <n v="0"/>
  </r>
  <r>
    <x v="22"/>
    <x v="94"/>
    <x v="94"/>
    <n v="2262"/>
    <x v="0"/>
    <n v="0"/>
  </r>
  <r>
    <x v="22"/>
    <x v="94"/>
    <x v="94"/>
    <n v="2264"/>
    <x v="0"/>
    <n v="0"/>
  </r>
  <r>
    <x v="22"/>
    <x v="94"/>
    <x v="94"/>
    <n v="2266"/>
    <x v="0"/>
    <n v="0"/>
  </r>
  <r>
    <x v="22"/>
    <x v="94"/>
    <x v="94"/>
    <n v="2268"/>
    <x v="0"/>
    <n v="0"/>
  </r>
  <r>
    <x v="22"/>
    <x v="94"/>
    <x v="94"/>
    <n v="2270"/>
    <x v="0"/>
    <n v="0"/>
  </r>
  <r>
    <x v="22"/>
    <x v="95"/>
    <x v="95"/>
    <n v="2286"/>
    <x v="0"/>
    <n v="0"/>
  </r>
  <r>
    <x v="22"/>
    <x v="95"/>
    <x v="95"/>
    <n v="2288"/>
    <x v="0"/>
    <n v="0"/>
  </r>
  <r>
    <x v="22"/>
    <x v="95"/>
    <x v="95"/>
    <n v="2290"/>
    <x v="0"/>
    <n v="0"/>
  </r>
  <r>
    <x v="22"/>
    <x v="95"/>
    <x v="95"/>
    <n v="2292"/>
    <x v="0"/>
    <n v="0"/>
  </r>
  <r>
    <x v="22"/>
    <x v="95"/>
    <x v="95"/>
    <n v="2294"/>
    <x v="0"/>
    <n v="0"/>
  </r>
  <r>
    <x v="22"/>
    <x v="96"/>
    <x v="96"/>
    <n v="2310"/>
    <x v="0"/>
    <n v="0"/>
  </r>
  <r>
    <x v="22"/>
    <x v="96"/>
    <x v="96"/>
    <n v="2312"/>
    <x v="0"/>
    <n v="0"/>
  </r>
  <r>
    <x v="22"/>
    <x v="96"/>
    <x v="96"/>
    <n v="2314"/>
    <x v="0"/>
    <n v="0"/>
  </r>
  <r>
    <x v="22"/>
    <x v="96"/>
    <x v="96"/>
    <n v="2316"/>
    <x v="0"/>
    <n v="0"/>
  </r>
  <r>
    <x v="22"/>
    <x v="96"/>
    <x v="96"/>
    <n v="2318"/>
    <x v="0"/>
    <n v="0"/>
  </r>
  <r>
    <x v="22"/>
    <x v="97"/>
    <x v="97"/>
    <n v="2334"/>
    <x v="0"/>
    <n v="0"/>
  </r>
  <r>
    <x v="22"/>
    <x v="97"/>
    <x v="97"/>
    <n v="2336"/>
    <x v="0"/>
    <n v="0"/>
  </r>
  <r>
    <x v="22"/>
    <x v="97"/>
    <x v="97"/>
    <n v="2338"/>
    <x v="0"/>
    <n v="0"/>
  </r>
  <r>
    <x v="22"/>
    <x v="97"/>
    <x v="97"/>
    <n v="2340"/>
    <x v="0"/>
    <n v="0"/>
  </r>
  <r>
    <x v="22"/>
    <x v="97"/>
    <x v="97"/>
    <n v="2342"/>
    <x v="0"/>
    <n v="0"/>
  </r>
  <r>
    <x v="23"/>
    <x v="98"/>
    <x v="98"/>
    <n v="2358"/>
    <x v="0"/>
    <n v="0"/>
  </r>
  <r>
    <x v="23"/>
    <x v="98"/>
    <x v="98"/>
    <n v="2360"/>
    <x v="0"/>
    <n v="0"/>
  </r>
  <r>
    <x v="23"/>
    <x v="98"/>
    <x v="98"/>
    <n v="2362"/>
    <x v="0"/>
    <n v="0"/>
  </r>
  <r>
    <x v="23"/>
    <x v="98"/>
    <x v="98"/>
    <n v="2364"/>
    <x v="0"/>
    <n v="0"/>
  </r>
  <r>
    <x v="23"/>
    <x v="98"/>
    <x v="98"/>
    <n v="2366"/>
    <x v="0"/>
    <n v="0"/>
  </r>
  <r>
    <x v="23"/>
    <x v="99"/>
    <x v="99"/>
    <n v="2382"/>
    <x v="0"/>
    <n v="0"/>
  </r>
  <r>
    <x v="23"/>
    <x v="99"/>
    <x v="99"/>
    <n v="2384"/>
    <x v="0"/>
    <n v="0"/>
  </r>
  <r>
    <x v="23"/>
    <x v="99"/>
    <x v="99"/>
    <n v="2386"/>
    <x v="0"/>
    <n v="0"/>
  </r>
  <r>
    <x v="23"/>
    <x v="99"/>
    <x v="99"/>
    <n v="2388"/>
    <x v="0"/>
    <n v="0"/>
  </r>
  <r>
    <x v="23"/>
    <x v="99"/>
    <x v="99"/>
    <n v="2390"/>
    <x v="0"/>
    <n v="0"/>
  </r>
  <r>
    <x v="23"/>
    <x v="100"/>
    <x v="100"/>
    <n v="2406"/>
    <x v="0"/>
    <n v="0"/>
  </r>
  <r>
    <x v="23"/>
    <x v="100"/>
    <x v="100"/>
    <n v="2408"/>
    <x v="0"/>
    <n v="0"/>
  </r>
  <r>
    <x v="23"/>
    <x v="100"/>
    <x v="100"/>
    <n v="2410"/>
    <x v="0"/>
    <n v="0"/>
  </r>
  <r>
    <x v="23"/>
    <x v="100"/>
    <x v="100"/>
    <n v="2412"/>
    <x v="0"/>
    <n v="0"/>
  </r>
  <r>
    <x v="23"/>
    <x v="100"/>
    <x v="100"/>
    <n v="2414"/>
    <x v="0"/>
    <n v="0"/>
  </r>
  <r>
    <x v="23"/>
    <x v="101"/>
    <x v="101"/>
    <n v="2430"/>
    <x v="0"/>
    <n v="0"/>
  </r>
  <r>
    <x v="23"/>
    <x v="101"/>
    <x v="101"/>
    <n v="2432"/>
    <x v="0"/>
    <n v="0"/>
  </r>
  <r>
    <x v="23"/>
    <x v="101"/>
    <x v="101"/>
    <n v="2434"/>
    <x v="0"/>
    <n v="0"/>
  </r>
  <r>
    <x v="23"/>
    <x v="101"/>
    <x v="101"/>
    <n v="2436"/>
    <x v="0"/>
    <n v="0"/>
  </r>
  <r>
    <x v="23"/>
    <x v="101"/>
    <x v="101"/>
    <n v="2438"/>
    <x v="0"/>
    <n v="0"/>
  </r>
  <r>
    <x v="24"/>
    <x v="102"/>
    <x v="102"/>
    <n v="2454"/>
    <x v="0"/>
    <n v="0"/>
  </r>
  <r>
    <x v="24"/>
    <x v="102"/>
    <x v="102"/>
    <n v="2456"/>
    <x v="0"/>
    <n v="0"/>
  </r>
  <r>
    <x v="24"/>
    <x v="102"/>
    <x v="102"/>
    <n v="2458"/>
    <x v="0"/>
    <n v="0"/>
  </r>
  <r>
    <x v="24"/>
    <x v="102"/>
    <x v="102"/>
    <n v="2460"/>
    <x v="0"/>
    <n v="0"/>
  </r>
  <r>
    <x v="24"/>
    <x v="102"/>
    <x v="102"/>
    <n v="2462"/>
    <x v="0"/>
    <n v="0"/>
  </r>
  <r>
    <x v="24"/>
    <x v="103"/>
    <x v="103"/>
    <n v="2478"/>
    <x v="0"/>
    <n v="0"/>
  </r>
  <r>
    <x v="24"/>
    <x v="103"/>
    <x v="103"/>
    <n v="2480"/>
    <x v="0"/>
    <n v="0"/>
  </r>
  <r>
    <x v="24"/>
    <x v="103"/>
    <x v="103"/>
    <n v="2482"/>
    <x v="0"/>
    <n v="0"/>
  </r>
  <r>
    <x v="24"/>
    <x v="103"/>
    <x v="103"/>
    <n v="2484"/>
    <x v="0"/>
    <n v="0"/>
  </r>
  <r>
    <x v="24"/>
    <x v="103"/>
    <x v="103"/>
    <n v="2486"/>
    <x v="0"/>
    <n v="0"/>
  </r>
  <r>
    <x v="24"/>
    <x v="104"/>
    <x v="104"/>
    <n v="2502"/>
    <x v="0"/>
    <n v="0"/>
  </r>
  <r>
    <x v="24"/>
    <x v="104"/>
    <x v="104"/>
    <n v="2504"/>
    <x v="0"/>
    <n v="0"/>
  </r>
  <r>
    <x v="24"/>
    <x v="104"/>
    <x v="104"/>
    <n v="2506"/>
    <x v="0"/>
    <n v="0"/>
  </r>
  <r>
    <x v="24"/>
    <x v="104"/>
    <x v="104"/>
    <n v="2508"/>
    <x v="0"/>
    <n v="0"/>
  </r>
  <r>
    <x v="24"/>
    <x v="104"/>
    <x v="104"/>
    <n v="2510"/>
    <x v="0"/>
    <n v="0"/>
  </r>
  <r>
    <x v="24"/>
    <x v="105"/>
    <x v="105"/>
    <n v="2526"/>
    <x v="0"/>
    <n v="0"/>
  </r>
  <r>
    <x v="24"/>
    <x v="105"/>
    <x v="105"/>
    <n v="2528"/>
    <x v="0"/>
    <n v="0"/>
  </r>
  <r>
    <x v="24"/>
    <x v="105"/>
    <x v="105"/>
    <n v="2530"/>
    <x v="0"/>
    <n v="0"/>
  </r>
  <r>
    <x v="24"/>
    <x v="105"/>
    <x v="105"/>
    <n v="2532"/>
    <x v="0"/>
    <n v="0"/>
  </r>
  <r>
    <x v="24"/>
    <x v="105"/>
    <x v="105"/>
    <n v="2534"/>
    <x v="0"/>
    <n v="0"/>
  </r>
  <r>
    <x v="25"/>
    <x v="106"/>
    <x v="106"/>
    <n v="2550"/>
    <x v="0"/>
    <n v="0"/>
  </r>
  <r>
    <x v="25"/>
    <x v="106"/>
    <x v="106"/>
    <n v="2552"/>
    <x v="0"/>
    <n v="0"/>
  </r>
  <r>
    <x v="25"/>
    <x v="106"/>
    <x v="106"/>
    <n v="2554"/>
    <x v="0"/>
    <n v="0"/>
  </r>
  <r>
    <x v="25"/>
    <x v="106"/>
    <x v="106"/>
    <n v="2556"/>
    <x v="0"/>
    <n v="0"/>
  </r>
  <r>
    <x v="25"/>
    <x v="106"/>
    <x v="106"/>
    <n v="2558"/>
    <x v="0"/>
    <n v="0"/>
  </r>
  <r>
    <x v="25"/>
    <x v="107"/>
    <x v="107"/>
    <n v="2574"/>
    <x v="0"/>
    <n v="0"/>
  </r>
  <r>
    <x v="25"/>
    <x v="107"/>
    <x v="107"/>
    <n v="2576"/>
    <x v="0"/>
    <n v="0"/>
  </r>
  <r>
    <x v="25"/>
    <x v="107"/>
    <x v="107"/>
    <n v="2578"/>
    <x v="0"/>
    <n v="0"/>
  </r>
  <r>
    <x v="25"/>
    <x v="107"/>
    <x v="107"/>
    <n v="2580"/>
    <x v="0"/>
    <n v="0"/>
  </r>
  <r>
    <x v="25"/>
    <x v="107"/>
    <x v="107"/>
    <n v="2582"/>
    <x v="0"/>
    <n v="0"/>
  </r>
  <r>
    <x v="25"/>
    <x v="108"/>
    <x v="108"/>
    <n v="2598"/>
    <x v="0"/>
    <n v="0"/>
  </r>
  <r>
    <x v="25"/>
    <x v="108"/>
    <x v="108"/>
    <n v="2600"/>
    <x v="0"/>
    <n v="0"/>
  </r>
  <r>
    <x v="25"/>
    <x v="108"/>
    <x v="108"/>
    <n v="2602"/>
    <x v="0"/>
    <n v="0"/>
  </r>
  <r>
    <x v="25"/>
    <x v="108"/>
    <x v="108"/>
    <n v="2604"/>
    <x v="0"/>
    <n v="0"/>
  </r>
  <r>
    <x v="25"/>
    <x v="108"/>
    <x v="108"/>
    <n v="2606"/>
    <x v="0"/>
    <n v="0"/>
  </r>
  <r>
    <x v="25"/>
    <x v="109"/>
    <x v="109"/>
    <n v="2622"/>
    <x v="0"/>
    <n v="0"/>
  </r>
  <r>
    <x v="25"/>
    <x v="109"/>
    <x v="109"/>
    <n v="2624"/>
    <x v="0"/>
    <n v="0"/>
  </r>
  <r>
    <x v="25"/>
    <x v="109"/>
    <x v="109"/>
    <n v="2626"/>
    <x v="0"/>
    <n v="0"/>
  </r>
  <r>
    <x v="25"/>
    <x v="109"/>
    <x v="109"/>
    <n v="2628"/>
    <x v="0"/>
    <n v="0"/>
  </r>
  <r>
    <x v="25"/>
    <x v="109"/>
    <x v="109"/>
    <n v="2630"/>
    <x v="0"/>
    <n v="0"/>
  </r>
  <r>
    <x v="25"/>
    <x v="110"/>
    <x v="110"/>
    <n v="2646"/>
    <x v="0"/>
    <n v="0"/>
  </r>
  <r>
    <x v="25"/>
    <x v="110"/>
    <x v="110"/>
    <n v="2648"/>
    <x v="0"/>
    <n v="0"/>
  </r>
  <r>
    <x v="25"/>
    <x v="110"/>
    <x v="110"/>
    <n v="2650"/>
    <x v="0"/>
    <n v="0"/>
  </r>
  <r>
    <x v="25"/>
    <x v="110"/>
    <x v="110"/>
    <n v="2652"/>
    <x v="0"/>
    <n v="0"/>
  </r>
  <r>
    <x v="25"/>
    <x v="110"/>
    <x v="110"/>
    <n v="2654"/>
    <x v="0"/>
    <n v="0"/>
  </r>
  <r>
    <x v="26"/>
    <x v="111"/>
    <x v="111"/>
    <n v="2670"/>
    <x v="0"/>
    <n v="0"/>
  </r>
  <r>
    <x v="26"/>
    <x v="111"/>
    <x v="111"/>
    <n v="2672"/>
    <x v="0"/>
    <n v="0"/>
  </r>
  <r>
    <x v="26"/>
    <x v="111"/>
    <x v="111"/>
    <n v="2674"/>
    <x v="0"/>
    <n v="0"/>
  </r>
  <r>
    <x v="26"/>
    <x v="111"/>
    <x v="111"/>
    <n v="2676"/>
    <x v="0"/>
    <n v="0"/>
  </r>
  <r>
    <x v="26"/>
    <x v="111"/>
    <x v="111"/>
    <n v="2678"/>
    <x v="0"/>
    <n v="0"/>
  </r>
  <r>
    <x v="26"/>
    <x v="112"/>
    <x v="112"/>
    <n v="2694"/>
    <x v="0"/>
    <n v="0"/>
  </r>
  <r>
    <x v="26"/>
    <x v="112"/>
    <x v="112"/>
    <n v="2696"/>
    <x v="0"/>
    <n v="0"/>
  </r>
  <r>
    <x v="26"/>
    <x v="112"/>
    <x v="112"/>
    <n v="2698"/>
    <x v="0"/>
    <n v="0"/>
  </r>
  <r>
    <x v="26"/>
    <x v="112"/>
    <x v="112"/>
    <n v="2700"/>
    <x v="0"/>
    <n v="0"/>
  </r>
  <r>
    <x v="26"/>
    <x v="112"/>
    <x v="112"/>
    <n v="2702"/>
    <x v="0"/>
    <n v="0"/>
  </r>
  <r>
    <x v="26"/>
    <x v="113"/>
    <x v="113"/>
    <n v="2718"/>
    <x v="0"/>
    <n v="0"/>
  </r>
  <r>
    <x v="26"/>
    <x v="113"/>
    <x v="113"/>
    <n v="2720"/>
    <x v="0"/>
    <n v="0"/>
  </r>
  <r>
    <x v="26"/>
    <x v="113"/>
    <x v="113"/>
    <n v="2722"/>
    <x v="0"/>
    <n v="0"/>
  </r>
  <r>
    <x v="26"/>
    <x v="113"/>
    <x v="113"/>
    <n v="2724"/>
    <x v="0"/>
    <n v="0"/>
  </r>
  <r>
    <x v="26"/>
    <x v="113"/>
    <x v="113"/>
    <n v="2726"/>
    <x v="0"/>
    <n v="0"/>
  </r>
  <r>
    <x v="26"/>
    <x v="114"/>
    <x v="114"/>
    <n v="2742"/>
    <x v="0"/>
    <n v="0"/>
  </r>
  <r>
    <x v="26"/>
    <x v="114"/>
    <x v="114"/>
    <n v="2744"/>
    <x v="0"/>
    <n v="0"/>
  </r>
  <r>
    <x v="26"/>
    <x v="114"/>
    <x v="114"/>
    <n v="2746"/>
    <x v="0"/>
    <n v="0"/>
  </r>
  <r>
    <x v="26"/>
    <x v="114"/>
    <x v="114"/>
    <n v="2748"/>
    <x v="0"/>
    <n v="0"/>
  </r>
  <r>
    <x v="26"/>
    <x v="114"/>
    <x v="114"/>
    <n v="2750"/>
    <x v="0"/>
    <n v="0"/>
  </r>
  <r>
    <x v="27"/>
    <x v="115"/>
    <x v="115"/>
    <n v="2766"/>
    <x v="0"/>
    <n v="0"/>
  </r>
  <r>
    <x v="27"/>
    <x v="115"/>
    <x v="115"/>
    <n v="2768"/>
    <x v="0"/>
    <n v="0"/>
  </r>
  <r>
    <x v="27"/>
    <x v="115"/>
    <x v="115"/>
    <n v="2770"/>
    <x v="0"/>
    <n v="0"/>
  </r>
  <r>
    <x v="27"/>
    <x v="115"/>
    <x v="115"/>
    <n v="2772"/>
    <x v="0"/>
    <n v="0"/>
  </r>
  <r>
    <x v="27"/>
    <x v="115"/>
    <x v="115"/>
    <n v="2774"/>
    <x v="0"/>
    <n v="0"/>
  </r>
  <r>
    <x v="27"/>
    <x v="116"/>
    <x v="116"/>
    <n v="2790"/>
    <x v="0"/>
    <n v="0"/>
  </r>
  <r>
    <x v="27"/>
    <x v="116"/>
    <x v="116"/>
    <n v="2792"/>
    <x v="0"/>
    <n v="0"/>
  </r>
  <r>
    <x v="27"/>
    <x v="116"/>
    <x v="116"/>
    <n v="2794"/>
    <x v="0"/>
    <n v="0"/>
  </r>
  <r>
    <x v="27"/>
    <x v="116"/>
    <x v="116"/>
    <n v="2796"/>
    <x v="0"/>
    <n v="0"/>
  </r>
  <r>
    <x v="27"/>
    <x v="116"/>
    <x v="116"/>
    <n v="2798"/>
    <x v="0"/>
    <n v="0"/>
  </r>
  <r>
    <x v="27"/>
    <x v="117"/>
    <x v="117"/>
    <n v="2814"/>
    <x v="0"/>
    <n v="0"/>
  </r>
  <r>
    <x v="27"/>
    <x v="117"/>
    <x v="117"/>
    <n v="2816"/>
    <x v="0"/>
    <n v="0"/>
  </r>
  <r>
    <x v="27"/>
    <x v="117"/>
    <x v="117"/>
    <n v="2818"/>
    <x v="0"/>
    <n v="0"/>
  </r>
  <r>
    <x v="27"/>
    <x v="117"/>
    <x v="117"/>
    <n v="2820"/>
    <x v="0"/>
    <n v="0"/>
  </r>
  <r>
    <x v="27"/>
    <x v="117"/>
    <x v="117"/>
    <n v="2822"/>
    <x v="0"/>
    <n v="0"/>
  </r>
  <r>
    <x v="27"/>
    <x v="118"/>
    <x v="118"/>
    <n v="2838"/>
    <x v="0"/>
    <n v="0"/>
  </r>
  <r>
    <x v="27"/>
    <x v="118"/>
    <x v="118"/>
    <n v="2840"/>
    <x v="0"/>
    <n v="0"/>
  </r>
  <r>
    <x v="27"/>
    <x v="118"/>
    <x v="118"/>
    <n v="2842"/>
    <x v="0"/>
    <n v="0"/>
  </r>
  <r>
    <x v="27"/>
    <x v="118"/>
    <x v="118"/>
    <n v="2844"/>
    <x v="0"/>
    <n v="0"/>
  </r>
  <r>
    <x v="27"/>
    <x v="118"/>
    <x v="118"/>
    <n v="2846"/>
    <x v="0"/>
    <n v="0"/>
  </r>
  <r>
    <x v="28"/>
    <x v="119"/>
    <x v="119"/>
    <n v="2862"/>
    <x v="0"/>
    <n v="0"/>
  </r>
  <r>
    <x v="28"/>
    <x v="119"/>
    <x v="119"/>
    <n v="2864"/>
    <x v="0"/>
    <n v="0"/>
  </r>
  <r>
    <x v="28"/>
    <x v="119"/>
    <x v="119"/>
    <n v="2866"/>
    <x v="0"/>
    <n v="0"/>
  </r>
  <r>
    <x v="28"/>
    <x v="119"/>
    <x v="119"/>
    <n v="2868"/>
    <x v="0"/>
    <n v="0"/>
  </r>
  <r>
    <x v="28"/>
    <x v="119"/>
    <x v="119"/>
    <n v="2870"/>
    <x v="0"/>
    <n v="0"/>
  </r>
  <r>
    <x v="28"/>
    <x v="120"/>
    <x v="120"/>
    <n v="2886"/>
    <x v="0"/>
    <n v="0"/>
  </r>
  <r>
    <x v="28"/>
    <x v="120"/>
    <x v="120"/>
    <n v="2888"/>
    <x v="0"/>
    <n v="0"/>
  </r>
  <r>
    <x v="28"/>
    <x v="120"/>
    <x v="120"/>
    <n v="2890"/>
    <x v="0"/>
    <n v="0"/>
  </r>
  <r>
    <x v="28"/>
    <x v="120"/>
    <x v="120"/>
    <n v="2892"/>
    <x v="0"/>
    <n v="0"/>
  </r>
  <r>
    <x v="28"/>
    <x v="120"/>
    <x v="120"/>
    <n v="2894"/>
    <x v="0"/>
    <n v="0"/>
  </r>
  <r>
    <x v="28"/>
    <x v="121"/>
    <x v="121"/>
    <n v="2910"/>
    <x v="0"/>
    <n v="0"/>
  </r>
  <r>
    <x v="28"/>
    <x v="121"/>
    <x v="121"/>
    <n v="2912"/>
    <x v="0"/>
    <n v="0"/>
  </r>
  <r>
    <x v="28"/>
    <x v="121"/>
    <x v="121"/>
    <n v="2914"/>
    <x v="0"/>
    <n v="0"/>
  </r>
  <r>
    <x v="28"/>
    <x v="121"/>
    <x v="121"/>
    <n v="2916"/>
    <x v="0"/>
    <n v="0"/>
  </r>
  <r>
    <x v="28"/>
    <x v="121"/>
    <x v="121"/>
    <n v="2918"/>
    <x v="0"/>
    <n v="0"/>
  </r>
  <r>
    <x v="28"/>
    <x v="122"/>
    <x v="122"/>
    <n v="2934"/>
    <x v="0"/>
    <n v="0"/>
  </r>
  <r>
    <x v="28"/>
    <x v="122"/>
    <x v="122"/>
    <n v="2936"/>
    <x v="0"/>
    <n v="0"/>
  </r>
  <r>
    <x v="28"/>
    <x v="122"/>
    <x v="122"/>
    <n v="2938"/>
    <x v="0"/>
    <n v="0"/>
  </r>
  <r>
    <x v="28"/>
    <x v="122"/>
    <x v="122"/>
    <n v="2940"/>
    <x v="0"/>
    <n v="0"/>
  </r>
  <r>
    <x v="28"/>
    <x v="122"/>
    <x v="122"/>
    <n v="2942"/>
    <x v="0"/>
    <n v="0"/>
  </r>
  <r>
    <x v="29"/>
    <x v="123"/>
    <x v="123"/>
    <n v="2958"/>
    <x v="0"/>
    <n v="0"/>
  </r>
  <r>
    <x v="29"/>
    <x v="123"/>
    <x v="123"/>
    <n v="2960"/>
    <x v="0"/>
    <n v="0"/>
  </r>
  <r>
    <x v="29"/>
    <x v="123"/>
    <x v="123"/>
    <n v="2962"/>
    <x v="0"/>
    <n v="0"/>
  </r>
  <r>
    <x v="29"/>
    <x v="123"/>
    <x v="123"/>
    <n v="2964"/>
    <x v="0"/>
    <n v="0"/>
  </r>
  <r>
    <x v="29"/>
    <x v="123"/>
    <x v="123"/>
    <n v="2966"/>
    <x v="0"/>
    <n v="0"/>
  </r>
  <r>
    <x v="29"/>
    <x v="124"/>
    <x v="124"/>
    <n v="2982"/>
    <x v="0"/>
    <n v="0"/>
  </r>
  <r>
    <x v="29"/>
    <x v="124"/>
    <x v="124"/>
    <n v="2984"/>
    <x v="0"/>
    <n v="0"/>
  </r>
  <r>
    <x v="29"/>
    <x v="124"/>
    <x v="124"/>
    <n v="2986"/>
    <x v="0"/>
    <n v="0"/>
  </r>
  <r>
    <x v="29"/>
    <x v="124"/>
    <x v="124"/>
    <n v="2988"/>
    <x v="0"/>
    <n v="0"/>
  </r>
  <r>
    <x v="29"/>
    <x v="124"/>
    <x v="124"/>
    <n v="2990"/>
    <x v="0"/>
    <n v="0"/>
  </r>
  <r>
    <x v="29"/>
    <x v="125"/>
    <x v="125"/>
    <n v="3006"/>
    <x v="0"/>
    <n v="0"/>
  </r>
  <r>
    <x v="29"/>
    <x v="125"/>
    <x v="125"/>
    <n v="3008"/>
    <x v="0"/>
    <n v="0"/>
  </r>
  <r>
    <x v="29"/>
    <x v="125"/>
    <x v="125"/>
    <n v="3010"/>
    <x v="0"/>
    <n v="0"/>
  </r>
  <r>
    <x v="29"/>
    <x v="125"/>
    <x v="125"/>
    <n v="3012"/>
    <x v="0"/>
    <n v="0"/>
  </r>
  <r>
    <x v="29"/>
    <x v="125"/>
    <x v="125"/>
    <n v="3014"/>
    <x v="0"/>
    <n v="0"/>
  </r>
  <r>
    <x v="29"/>
    <x v="126"/>
    <x v="126"/>
    <n v="3030"/>
    <x v="0"/>
    <n v="0"/>
  </r>
  <r>
    <x v="29"/>
    <x v="126"/>
    <x v="126"/>
    <n v="3032"/>
    <x v="0"/>
    <n v="0"/>
  </r>
  <r>
    <x v="29"/>
    <x v="126"/>
    <x v="126"/>
    <n v="3034"/>
    <x v="0"/>
    <n v="0"/>
  </r>
  <r>
    <x v="29"/>
    <x v="126"/>
    <x v="126"/>
    <n v="3036"/>
    <x v="0"/>
    <n v="0"/>
  </r>
  <r>
    <x v="29"/>
    <x v="126"/>
    <x v="126"/>
    <n v="3038"/>
    <x v="0"/>
    <n v="0"/>
  </r>
  <r>
    <x v="29"/>
    <x v="127"/>
    <x v="127"/>
    <n v="3054"/>
    <x v="0"/>
    <n v="0"/>
  </r>
  <r>
    <x v="29"/>
    <x v="127"/>
    <x v="127"/>
    <n v="3056"/>
    <x v="0"/>
    <n v="0"/>
  </r>
  <r>
    <x v="29"/>
    <x v="127"/>
    <x v="127"/>
    <n v="3058"/>
    <x v="0"/>
    <n v="0"/>
  </r>
  <r>
    <x v="29"/>
    <x v="127"/>
    <x v="127"/>
    <n v="3060"/>
    <x v="0"/>
    <n v="0"/>
  </r>
  <r>
    <x v="29"/>
    <x v="127"/>
    <x v="127"/>
    <n v="3062"/>
    <x v="0"/>
    <n v="0"/>
  </r>
  <r>
    <x v="30"/>
    <x v="128"/>
    <x v="128"/>
    <n v="3078"/>
    <x v="0"/>
    <n v="0"/>
  </r>
  <r>
    <x v="30"/>
    <x v="128"/>
    <x v="128"/>
    <n v="3080"/>
    <x v="0"/>
    <n v="0"/>
  </r>
  <r>
    <x v="30"/>
    <x v="128"/>
    <x v="128"/>
    <n v="3082"/>
    <x v="0"/>
    <n v="0"/>
  </r>
  <r>
    <x v="30"/>
    <x v="128"/>
    <x v="128"/>
    <n v="3084"/>
    <x v="0"/>
    <n v="0"/>
  </r>
  <r>
    <x v="30"/>
    <x v="128"/>
    <x v="128"/>
    <n v="3086"/>
    <x v="0"/>
    <n v="0"/>
  </r>
  <r>
    <x v="30"/>
    <x v="129"/>
    <x v="129"/>
    <n v="3102"/>
    <x v="0"/>
    <n v="0"/>
  </r>
  <r>
    <x v="30"/>
    <x v="129"/>
    <x v="129"/>
    <n v="3104"/>
    <x v="0"/>
    <n v="0"/>
  </r>
  <r>
    <x v="30"/>
    <x v="129"/>
    <x v="129"/>
    <n v="3106"/>
    <x v="0"/>
    <n v="0"/>
  </r>
  <r>
    <x v="30"/>
    <x v="129"/>
    <x v="129"/>
    <n v="3108"/>
    <x v="0"/>
    <n v="0"/>
  </r>
  <r>
    <x v="30"/>
    <x v="129"/>
    <x v="129"/>
    <n v="3110"/>
    <x v="0"/>
    <n v="0"/>
  </r>
  <r>
    <x v="30"/>
    <x v="130"/>
    <x v="130"/>
    <n v="3126"/>
    <x v="0"/>
    <n v="0"/>
  </r>
  <r>
    <x v="30"/>
    <x v="130"/>
    <x v="130"/>
    <n v="3128"/>
    <x v="0"/>
    <n v="0"/>
  </r>
  <r>
    <x v="30"/>
    <x v="130"/>
    <x v="130"/>
    <n v="3130"/>
    <x v="0"/>
    <n v="0"/>
  </r>
  <r>
    <x v="30"/>
    <x v="130"/>
    <x v="130"/>
    <n v="3132"/>
    <x v="0"/>
    <n v="0"/>
  </r>
  <r>
    <x v="30"/>
    <x v="130"/>
    <x v="130"/>
    <n v="3134"/>
    <x v="0"/>
    <n v="0"/>
  </r>
  <r>
    <x v="30"/>
    <x v="131"/>
    <x v="131"/>
    <n v="3150"/>
    <x v="0"/>
    <n v="0"/>
  </r>
  <r>
    <x v="30"/>
    <x v="131"/>
    <x v="131"/>
    <n v="3152"/>
    <x v="0"/>
    <n v="0"/>
  </r>
  <r>
    <x v="30"/>
    <x v="131"/>
    <x v="131"/>
    <n v="3154"/>
    <x v="0"/>
    <n v="0"/>
  </r>
  <r>
    <x v="30"/>
    <x v="131"/>
    <x v="131"/>
    <n v="3156"/>
    <x v="0"/>
    <n v="0"/>
  </r>
  <r>
    <x v="30"/>
    <x v="131"/>
    <x v="131"/>
    <n v="3158"/>
    <x v="0"/>
    <n v="0"/>
  </r>
  <r>
    <x v="31"/>
    <x v="132"/>
    <x v="132"/>
    <n v="3174"/>
    <x v="0"/>
    <n v="0"/>
  </r>
  <r>
    <x v="31"/>
    <x v="132"/>
    <x v="132"/>
    <n v="3176"/>
    <x v="0"/>
    <n v="0"/>
  </r>
  <r>
    <x v="31"/>
    <x v="132"/>
    <x v="132"/>
    <n v="3178"/>
    <x v="0"/>
    <n v="0"/>
  </r>
  <r>
    <x v="31"/>
    <x v="132"/>
    <x v="132"/>
    <n v="3180"/>
    <x v="0"/>
    <n v="0"/>
  </r>
  <r>
    <x v="31"/>
    <x v="132"/>
    <x v="132"/>
    <n v="3182"/>
    <x v="0"/>
    <n v="0"/>
  </r>
  <r>
    <x v="31"/>
    <x v="133"/>
    <x v="133"/>
    <n v="3198"/>
    <x v="0"/>
    <n v="0"/>
  </r>
  <r>
    <x v="31"/>
    <x v="133"/>
    <x v="133"/>
    <n v="3200"/>
    <x v="0"/>
    <n v="0"/>
  </r>
  <r>
    <x v="31"/>
    <x v="133"/>
    <x v="133"/>
    <n v="3202"/>
    <x v="0"/>
    <n v="0"/>
  </r>
  <r>
    <x v="31"/>
    <x v="133"/>
    <x v="133"/>
    <n v="3204"/>
    <x v="0"/>
    <n v="0"/>
  </r>
  <r>
    <x v="31"/>
    <x v="133"/>
    <x v="133"/>
    <n v="3206"/>
    <x v="0"/>
    <n v="0"/>
  </r>
  <r>
    <x v="31"/>
    <x v="134"/>
    <x v="134"/>
    <n v="3222"/>
    <x v="0"/>
    <n v="0"/>
  </r>
  <r>
    <x v="31"/>
    <x v="134"/>
    <x v="134"/>
    <n v="3224"/>
    <x v="0"/>
    <n v="0"/>
  </r>
  <r>
    <x v="31"/>
    <x v="134"/>
    <x v="134"/>
    <n v="3226"/>
    <x v="0"/>
    <n v="0"/>
  </r>
  <r>
    <x v="31"/>
    <x v="134"/>
    <x v="134"/>
    <n v="3228"/>
    <x v="0"/>
    <n v="0"/>
  </r>
  <r>
    <x v="31"/>
    <x v="134"/>
    <x v="134"/>
    <n v="3230"/>
    <x v="0"/>
    <n v="0"/>
  </r>
  <r>
    <x v="31"/>
    <x v="135"/>
    <x v="135"/>
    <n v="3246"/>
    <x v="0"/>
    <n v="0"/>
  </r>
  <r>
    <x v="31"/>
    <x v="135"/>
    <x v="135"/>
    <n v="3248"/>
    <x v="0"/>
    <n v="0"/>
  </r>
  <r>
    <x v="31"/>
    <x v="135"/>
    <x v="135"/>
    <n v="3250"/>
    <x v="0"/>
    <n v="0"/>
  </r>
  <r>
    <x v="31"/>
    <x v="135"/>
    <x v="135"/>
    <n v="3252"/>
    <x v="0"/>
    <n v="0"/>
  </r>
  <r>
    <x v="31"/>
    <x v="135"/>
    <x v="135"/>
    <n v="3254"/>
    <x v="0"/>
    <n v="0"/>
  </r>
  <r>
    <x v="31"/>
    <x v="136"/>
    <x v="136"/>
    <n v="3270"/>
    <x v="0"/>
    <n v="0"/>
  </r>
  <r>
    <x v="31"/>
    <x v="136"/>
    <x v="136"/>
    <n v="3272"/>
    <x v="0"/>
    <n v="0"/>
  </r>
  <r>
    <x v="31"/>
    <x v="136"/>
    <x v="136"/>
    <n v="3274"/>
    <x v="0"/>
    <n v="0"/>
  </r>
  <r>
    <x v="31"/>
    <x v="136"/>
    <x v="136"/>
    <n v="3276"/>
    <x v="0"/>
    <n v="0"/>
  </r>
  <r>
    <x v="31"/>
    <x v="136"/>
    <x v="136"/>
    <n v="3278"/>
    <x v="0"/>
    <n v="0"/>
  </r>
  <r>
    <x v="32"/>
    <x v="137"/>
    <x v="137"/>
    <n v="3294"/>
    <x v="0"/>
    <n v="0"/>
  </r>
  <r>
    <x v="32"/>
    <x v="137"/>
    <x v="137"/>
    <n v="3296"/>
    <x v="0"/>
    <n v="0"/>
  </r>
  <r>
    <x v="32"/>
    <x v="137"/>
    <x v="137"/>
    <n v="3298"/>
    <x v="0"/>
    <n v="0"/>
  </r>
  <r>
    <x v="32"/>
    <x v="137"/>
    <x v="137"/>
    <n v="3300"/>
    <x v="0"/>
    <n v="0"/>
  </r>
  <r>
    <x v="32"/>
    <x v="137"/>
    <x v="137"/>
    <n v="3302"/>
    <x v="0"/>
    <n v="0"/>
  </r>
  <r>
    <x v="32"/>
    <x v="138"/>
    <x v="138"/>
    <n v="3318"/>
    <x v="0"/>
    <n v="0"/>
  </r>
  <r>
    <x v="32"/>
    <x v="138"/>
    <x v="138"/>
    <n v="3320"/>
    <x v="0"/>
    <n v="0"/>
  </r>
  <r>
    <x v="32"/>
    <x v="138"/>
    <x v="138"/>
    <n v="3322"/>
    <x v="0"/>
    <n v="0"/>
  </r>
  <r>
    <x v="32"/>
    <x v="138"/>
    <x v="138"/>
    <n v="3324"/>
    <x v="0"/>
    <n v="0"/>
  </r>
  <r>
    <x v="32"/>
    <x v="138"/>
    <x v="138"/>
    <n v="3326"/>
    <x v="0"/>
    <n v="0"/>
  </r>
  <r>
    <x v="32"/>
    <x v="139"/>
    <x v="139"/>
    <n v="3342"/>
    <x v="0"/>
    <n v="0"/>
  </r>
  <r>
    <x v="32"/>
    <x v="139"/>
    <x v="139"/>
    <n v="3344"/>
    <x v="0"/>
    <n v="0"/>
  </r>
  <r>
    <x v="32"/>
    <x v="139"/>
    <x v="139"/>
    <n v="3346"/>
    <x v="0"/>
    <n v="0"/>
  </r>
  <r>
    <x v="32"/>
    <x v="139"/>
    <x v="139"/>
    <n v="3348"/>
    <x v="0"/>
    <n v="0"/>
  </r>
  <r>
    <x v="32"/>
    <x v="139"/>
    <x v="139"/>
    <n v="3350"/>
    <x v="0"/>
    <n v="0"/>
  </r>
  <r>
    <x v="32"/>
    <x v="140"/>
    <x v="140"/>
    <n v="3366"/>
    <x v="0"/>
    <n v="0"/>
  </r>
  <r>
    <x v="32"/>
    <x v="140"/>
    <x v="140"/>
    <n v="3368"/>
    <x v="0"/>
    <n v="0"/>
  </r>
  <r>
    <x v="32"/>
    <x v="140"/>
    <x v="140"/>
    <n v="3370"/>
    <x v="0"/>
    <n v="0"/>
  </r>
  <r>
    <x v="32"/>
    <x v="140"/>
    <x v="140"/>
    <n v="3372"/>
    <x v="0"/>
    <n v="0"/>
  </r>
  <r>
    <x v="32"/>
    <x v="140"/>
    <x v="140"/>
    <n v="3374"/>
    <x v="0"/>
    <n v="0"/>
  </r>
  <r>
    <x v="33"/>
    <x v="141"/>
    <x v="141"/>
    <n v="3390"/>
    <x v="0"/>
    <n v="0"/>
  </r>
  <r>
    <x v="33"/>
    <x v="141"/>
    <x v="141"/>
    <n v="3392"/>
    <x v="0"/>
    <n v="0"/>
  </r>
  <r>
    <x v="33"/>
    <x v="141"/>
    <x v="141"/>
    <n v="3394"/>
    <x v="0"/>
    <n v="0"/>
  </r>
  <r>
    <x v="33"/>
    <x v="141"/>
    <x v="141"/>
    <n v="3396"/>
    <x v="0"/>
    <n v="0"/>
  </r>
  <r>
    <x v="33"/>
    <x v="141"/>
    <x v="141"/>
    <n v="3398"/>
    <x v="0"/>
    <n v="0"/>
  </r>
  <r>
    <x v="33"/>
    <x v="142"/>
    <x v="142"/>
    <n v="3414"/>
    <x v="0"/>
    <n v="0"/>
  </r>
  <r>
    <x v="33"/>
    <x v="142"/>
    <x v="142"/>
    <n v="3416"/>
    <x v="0"/>
    <n v="0"/>
  </r>
  <r>
    <x v="33"/>
    <x v="142"/>
    <x v="142"/>
    <n v="3418"/>
    <x v="0"/>
    <n v="0"/>
  </r>
  <r>
    <x v="33"/>
    <x v="142"/>
    <x v="142"/>
    <n v="3420"/>
    <x v="0"/>
    <n v="0"/>
  </r>
  <r>
    <x v="33"/>
    <x v="142"/>
    <x v="142"/>
    <n v="3422"/>
    <x v="0"/>
    <n v="0"/>
  </r>
  <r>
    <x v="33"/>
    <x v="143"/>
    <x v="143"/>
    <n v="3438"/>
    <x v="0"/>
    <n v="0"/>
  </r>
  <r>
    <x v="33"/>
    <x v="143"/>
    <x v="143"/>
    <n v="3440"/>
    <x v="0"/>
    <n v="0"/>
  </r>
  <r>
    <x v="33"/>
    <x v="143"/>
    <x v="143"/>
    <n v="3442"/>
    <x v="0"/>
    <n v="0"/>
  </r>
  <r>
    <x v="33"/>
    <x v="143"/>
    <x v="143"/>
    <n v="3444"/>
    <x v="0"/>
    <n v="0"/>
  </r>
  <r>
    <x v="33"/>
    <x v="143"/>
    <x v="143"/>
    <n v="3446"/>
    <x v="0"/>
    <n v="0"/>
  </r>
  <r>
    <x v="33"/>
    <x v="144"/>
    <x v="144"/>
    <n v="3462"/>
    <x v="0"/>
    <n v="0"/>
  </r>
  <r>
    <x v="33"/>
    <x v="144"/>
    <x v="144"/>
    <n v="3464"/>
    <x v="0"/>
    <n v="0"/>
  </r>
  <r>
    <x v="33"/>
    <x v="144"/>
    <x v="144"/>
    <n v="3466"/>
    <x v="0"/>
    <n v="0"/>
  </r>
  <r>
    <x v="33"/>
    <x v="144"/>
    <x v="144"/>
    <n v="3468"/>
    <x v="0"/>
    <n v="0"/>
  </r>
  <r>
    <x v="33"/>
    <x v="144"/>
    <x v="144"/>
    <n v="3470"/>
    <x v="0"/>
    <n v="0"/>
  </r>
  <r>
    <x v="34"/>
    <x v="145"/>
    <x v="145"/>
    <n v="3486"/>
    <x v="0"/>
    <n v="0"/>
  </r>
  <r>
    <x v="34"/>
    <x v="145"/>
    <x v="145"/>
    <n v="3488"/>
    <x v="0"/>
    <n v="0"/>
  </r>
  <r>
    <x v="34"/>
    <x v="145"/>
    <x v="145"/>
    <n v="3490"/>
    <x v="0"/>
    <n v="0"/>
  </r>
  <r>
    <x v="34"/>
    <x v="145"/>
    <x v="145"/>
    <n v="3492"/>
    <x v="0"/>
    <n v="0"/>
  </r>
  <r>
    <x v="34"/>
    <x v="145"/>
    <x v="145"/>
    <n v="3494"/>
    <x v="0"/>
    <n v="0"/>
  </r>
  <r>
    <x v="34"/>
    <x v="146"/>
    <x v="146"/>
    <n v="3510"/>
    <x v="0"/>
    <n v="0"/>
  </r>
  <r>
    <x v="34"/>
    <x v="146"/>
    <x v="146"/>
    <n v="3512"/>
    <x v="0"/>
    <n v="0"/>
  </r>
  <r>
    <x v="34"/>
    <x v="146"/>
    <x v="146"/>
    <n v="3514"/>
    <x v="0"/>
    <n v="0"/>
  </r>
  <r>
    <x v="34"/>
    <x v="146"/>
    <x v="146"/>
    <n v="3516"/>
    <x v="0"/>
    <n v="0"/>
  </r>
  <r>
    <x v="34"/>
    <x v="146"/>
    <x v="146"/>
    <n v="3518"/>
    <x v="0"/>
    <n v="0"/>
  </r>
  <r>
    <x v="34"/>
    <x v="147"/>
    <x v="147"/>
    <n v="3534"/>
    <x v="0"/>
    <n v="0"/>
  </r>
  <r>
    <x v="34"/>
    <x v="147"/>
    <x v="147"/>
    <n v="3536"/>
    <x v="0"/>
    <n v="0"/>
  </r>
  <r>
    <x v="34"/>
    <x v="147"/>
    <x v="147"/>
    <n v="3538"/>
    <x v="0"/>
    <n v="0"/>
  </r>
  <r>
    <x v="34"/>
    <x v="147"/>
    <x v="147"/>
    <n v="3540"/>
    <x v="0"/>
    <n v="0"/>
  </r>
  <r>
    <x v="34"/>
    <x v="147"/>
    <x v="147"/>
    <n v="3542"/>
    <x v="0"/>
    <n v="0"/>
  </r>
  <r>
    <x v="34"/>
    <x v="148"/>
    <x v="148"/>
    <n v="3558"/>
    <x v="0"/>
    <n v="0"/>
  </r>
  <r>
    <x v="34"/>
    <x v="148"/>
    <x v="148"/>
    <n v="3560"/>
    <x v="0"/>
    <n v="0"/>
  </r>
  <r>
    <x v="34"/>
    <x v="148"/>
    <x v="148"/>
    <n v="3562"/>
    <x v="0"/>
    <n v="0"/>
  </r>
  <r>
    <x v="34"/>
    <x v="148"/>
    <x v="148"/>
    <n v="3564"/>
    <x v="0"/>
    <n v="0"/>
  </r>
  <r>
    <x v="34"/>
    <x v="148"/>
    <x v="148"/>
    <n v="3566"/>
    <x v="0"/>
    <n v="0"/>
  </r>
  <r>
    <x v="34"/>
    <x v="149"/>
    <x v="149"/>
    <n v="3582"/>
    <x v="0"/>
    <n v="0"/>
  </r>
  <r>
    <x v="34"/>
    <x v="149"/>
    <x v="149"/>
    <n v="3584"/>
    <x v="0"/>
    <n v="0"/>
  </r>
  <r>
    <x v="34"/>
    <x v="149"/>
    <x v="149"/>
    <n v="3586"/>
    <x v="0"/>
    <n v="0"/>
  </r>
  <r>
    <x v="34"/>
    <x v="149"/>
    <x v="149"/>
    <n v="3588"/>
    <x v="0"/>
    <n v="0"/>
  </r>
  <r>
    <x v="34"/>
    <x v="149"/>
    <x v="149"/>
    <n v="3590"/>
    <x v="0"/>
    <n v="0"/>
  </r>
  <r>
    <x v="35"/>
    <x v="150"/>
    <x v="150"/>
    <n v="3606"/>
    <x v="0"/>
    <n v="0"/>
  </r>
  <r>
    <x v="35"/>
    <x v="150"/>
    <x v="150"/>
    <n v="3608"/>
    <x v="0"/>
    <n v="0"/>
  </r>
  <r>
    <x v="35"/>
    <x v="150"/>
    <x v="150"/>
    <n v="3610"/>
    <x v="0"/>
    <n v="0"/>
  </r>
  <r>
    <x v="35"/>
    <x v="150"/>
    <x v="150"/>
    <n v="3612"/>
    <x v="0"/>
    <n v="0"/>
  </r>
  <r>
    <x v="35"/>
    <x v="150"/>
    <x v="150"/>
    <n v="3614"/>
    <x v="0"/>
    <n v="0"/>
  </r>
  <r>
    <x v="35"/>
    <x v="151"/>
    <x v="151"/>
    <n v="3630"/>
    <x v="0"/>
    <n v="0"/>
  </r>
  <r>
    <x v="35"/>
    <x v="151"/>
    <x v="151"/>
    <n v="3632"/>
    <x v="0"/>
    <n v="0"/>
  </r>
  <r>
    <x v="35"/>
    <x v="151"/>
    <x v="151"/>
    <n v="3634"/>
    <x v="0"/>
    <n v="0"/>
  </r>
  <r>
    <x v="35"/>
    <x v="151"/>
    <x v="151"/>
    <n v="3636"/>
    <x v="0"/>
    <n v="0"/>
  </r>
  <r>
    <x v="35"/>
    <x v="151"/>
    <x v="151"/>
    <n v="3638"/>
    <x v="0"/>
    <n v="0"/>
  </r>
  <r>
    <x v="35"/>
    <x v="152"/>
    <x v="152"/>
    <n v="3654"/>
    <x v="0"/>
    <n v="0"/>
  </r>
  <r>
    <x v="35"/>
    <x v="152"/>
    <x v="152"/>
    <n v="3656"/>
    <x v="0"/>
    <n v="0"/>
  </r>
  <r>
    <x v="35"/>
    <x v="152"/>
    <x v="152"/>
    <n v="3658"/>
    <x v="0"/>
    <n v="0"/>
  </r>
  <r>
    <x v="35"/>
    <x v="152"/>
    <x v="152"/>
    <n v="3660"/>
    <x v="0"/>
    <n v="0"/>
  </r>
  <r>
    <x v="35"/>
    <x v="152"/>
    <x v="152"/>
    <n v="3662"/>
    <x v="0"/>
    <n v="0"/>
  </r>
  <r>
    <x v="35"/>
    <x v="153"/>
    <x v="153"/>
    <n v="3678"/>
    <x v="0"/>
    <n v="0"/>
  </r>
  <r>
    <x v="35"/>
    <x v="153"/>
    <x v="153"/>
    <n v="3680"/>
    <x v="0"/>
    <n v="0"/>
  </r>
  <r>
    <x v="35"/>
    <x v="153"/>
    <x v="153"/>
    <n v="3682"/>
    <x v="0"/>
    <n v="0"/>
  </r>
  <r>
    <x v="35"/>
    <x v="153"/>
    <x v="153"/>
    <n v="3684"/>
    <x v="0"/>
    <n v="0"/>
  </r>
  <r>
    <x v="35"/>
    <x v="153"/>
    <x v="153"/>
    <n v="3686"/>
    <x v="0"/>
    <n v="0"/>
  </r>
  <r>
    <x v="36"/>
    <x v="154"/>
    <x v="154"/>
    <n v="3702"/>
    <x v="0"/>
    <n v="0"/>
  </r>
  <r>
    <x v="36"/>
    <x v="154"/>
    <x v="154"/>
    <n v="3704"/>
    <x v="0"/>
    <n v="0"/>
  </r>
  <r>
    <x v="36"/>
    <x v="154"/>
    <x v="154"/>
    <n v="3706"/>
    <x v="0"/>
    <n v="0"/>
  </r>
  <r>
    <x v="36"/>
    <x v="154"/>
    <x v="154"/>
    <n v="3708"/>
    <x v="0"/>
    <n v="0"/>
  </r>
  <r>
    <x v="36"/>
    <x v="154"/>
    <x v="154"/>
    <n v="3710"/>
    <x v="0"/>
    <n v="0"/>
  </r>
  <r>
    <x v="36"/>
    <x v="155"/>
    <x v="155"/>
    <n v="3726"/>
    <x v="0"/>
    <n v="0"/>
  </r>
  <r>
    <x v="36"/>
    <x v="155"/>
    <x v="155"/>
    <n v="3728"/>
    <x v="0"/>
    <n v="0"/>
  </r>
  <r>
    <x v="36"/>
    <x v="155"/>
    <x v="155"/>
    <n v="3730"/>
    <x v="0"/>
    <n v="0"/>
  </r>
  <r>
    <x v="36"/>
    <x v="155"/>
    <x v="155"/>
    <n v="3732"/>
    <x v="0"/>
    <n v="0"/>
  </r>
  <r>
    <x v="36"/>
    <x v="155"/>
    <x v="155"/>
    <n v="3734"/>
    <x v="0"/>
    <n v="0"/>
  </r>
  <r>
    <x v="36"/>
    <x v="156"/>
    <x v="156"/>
    <n v="3750"/>
    <x v="0"/>
    <n v="0"/>
  </r>
  <r>
    <x v="36"/>
    <x v="156"/>
    <x v="156"/>
    <n v="3752"/>
    <x v="0"/>
    <n v="0"/>
  </r>
  <r>
    <x v="36"/>
    <x v="156"/>
    <x v="156"/>
    <n v="3754"/>
    <x v="0"/>
    <n v="0"/>
  </r>
  <r>
    <x v="36"/>
    <x v="156"/>
    <x v="156"/>
    <n v="3756"/>
    <x v="0"/>
    <n v="0"/>
  </r>
  <r>
    <x v="36"/>
    <x v="156"/>
    <x v="156"/>
    <n v="3758"/>
    <x v="0"/>
    <n v="0"/>
  </r>
  <r>
    <x v="36"/>
    <x v="157"/>
    <x v="157"/>
    <n v="3774"/>
    <x v="0"/>
    <n v="0"/>
  </r>
  <r>
    <x v="36"/>
    <x v="157"/>
    <x v="157"/>
    <n v="3776"/>
    <x v="0"/>
    <n v="0"/>
  </r>
  <r>
    <x v="36"/>
    <x v="157"/>
    <x v="157"/>
    <n v="3778"/>
    <x v="0"/>
    <n v="0"/>
  </r>
  <r>
    <x v="36"/>
    <x v="157"/>
    <x v="157"/>
    <n v="3780"/>
    <x v="0"/>
    <n v="0"/>
  </r>
  <r>
    <x v="36"/>
    <x v="157"/>
    <x v="157"/>
    <n v="3782"/>
    <x v="0"/>
    <n v="0"/>
  </r>
  <r>
    <x v="37"/>
    <x v="158"/>
    <x v="158"/>
    <n v="3798"/>
    <x v="0"/>
    <n v="0"/>
  </r>
  <r>
    <x v="37"/>
    <x v="158"/>
    <x v="158"/>
    <n v="3800"/>
    <x v="0"/>
    <n v="0"/>
  </r>
  <r>
    <x v="37"/>
    <x v="158"/>
    <x v="158"/>
    <n v="3802"/>
    <x v="0"/>
    <n v="0"/>
  </r>
  <r>
    <x v="37"/>
    <x v="158"/>
    <x v="158"/>
    <n v="3804"/>
    <x v="0"/>
    <n v="0"/>
  </r>
  <r>
    <x v="37"/>
    <x v="158"/>
    <x v="158"/>
    <n v="3806"/>
    <x v="0"/>
    <n v="0"/>
  </r>
  <r>
    <x v="37"/>
    <x v="159"/>
    <x v="159"/>
    <n v="3822"/>
    <x v="0"/>
    <n v="0"/>
  </r>
  <r>
    <x v="37"/>
    <x v="159"/>
    <x v="159"/>
    <n v="3824"/>
    <x v="0"/>
    <n v="0"/>
  </r>
  <r>
    <x v="37"/>
    <x v="159"/>
    <x v="159"/>
    <n v="3826"/>
    <x v="0"/>
    <n v="0"/>
  </r>
  <r>
    <x v="37"/>
    <x v="159"/>
    <x v="159"/>
    <n v="3828"/>
    <x v="0"/>
    <n v="0"/>
  </r>
  <r>
    <x v="37"/>
    <x v="159"/>
    <x v="159"/>
    <n v="3830"/>
    <x v="0"/>
    <n v="0"/>
  </r>
  <r>
    <x v="37"/>
    <x v="160"/>
    <x v="160"/>
    <n v="3846"/>
    <x v="0"/>
    <n v="0"/>
  </r>
  <r>
    <x v="37"/>
    <x v="160"/>
    <x v="160"/>
    <n v="3848"/>
    <x v="0"/>
    <n v="0"/>
  </r>
  <r>
    <x v="37"/>
    <x v="160"/>
    <x v="160"/>
    <n v="3850"/>
    <x v="0"/>
    <n v="0"/>
  </r>
  <r>
    <x v="37"/>
    <x v="160"/>
    <x v="160"/>
    <n v="3852"/>
    <x v="0"/>
    <n v="0"/>
  </r>
  <r>
    <x v="37"/>
    <x v="160"/>
    <x v="160"/>
    <n v="3854"/>
    <x v="0"/>
    <n v="0"/>
  </r>
  <r>
    <x v="37"/>
    <x v="161"/>
    <x v="161"/>
    <n v="3870"/>
    <x v="0"/>
    <n v="0"/>
  </r>
  <r>
    <x v="37"/>
    <x v="161"/>
    <x v="161"/>
    <n v="3872"/>
    <x v="0"/>
    <n v="0"/>
  </r>
  <r>
    <x v="37"/>
    <x v="161"/>
    <x v="161"/>
    <n v="3874"/>
    <x v="0"/>
    <n v="0"/>
  </r>
  <r>
    <x v="37"/>
    <x v="161"/>
    <x v="161"/>
    <n v="3876"/>
    <x v="0"/>
    <n v="0"/>
  </r>
  <r>
    <x v="37"/>
    <x v="161"/>
    <x v="161"/>
    <n v="3878"/>
    <x v="0"/>
    <n v="0"/>
  </r>
  <r>
    <x v="37"/>
    <x v="162"/>
    <x v="162"/>
    <n v="3894"/>
    <x v="0"/>
    <n v="0"/>
  </r>
  <r>
    <x v="37"/>
    <x v="162"/>
    <x v="162"/>
    <n v="3896"/>
    <x v="0"/>
    <n v="0"/>
  </r>
  <r>
    <x v="37"/>
    <x v="162"/>
    <x v="162"/>
    <n v="3898"/>
    <x v="0"/>
    <n v="0"/>
  </r>
  <r>
    <x v="37"/>
    <x v="162"/>
    <x v="162"/>
    <n v="3900"/>
    <x v="0"/>
    <n v="0"/>
  </r>
  <r>
    <x v="37"/>
    <x v="162"/>
    <x v="162"/>
    <n v="3902"/>
    <x v="0"/>
    <n v="0"/>
  </r>
  <r>
    <x v="38"/>
    <x v="163"/>
    <x v="163"/>
    <n v="3918"/>
    <x v="0"/>
    <n v="0"/>
  </r>
  <r>
    <x v="38"/>
    <x v="163"/>
    <x v="163"/>
    <n v="3920"/>
    <x v="0"/>
    <n v="0"/>
  </r>
  <r>
    <x v="38"/>
    <x v="163"/>
    <x v="163"/>
    <n v="3922"/>
    <x v="0"/>
    <n v="0"/>
  </r>
  <r>
    <x v="38"/>
    <x v="163"/>
    <x v="163"/>
    <n v="3924"/>
    <x v="0"/>
    <n v="0"/>
  </r>
  <r>
    <x v="38"/>
    <x v="163"/>
    <x v="163"/>
    <n v="3926"/>
    <x v="0"/>
    <n v="0"/>
  </r>
  <r>
    <x v="38"/>
    <x v="164"/>
    <x v="164"/>
    <n v="3942"/>
    <x v="0"/>
    <n v="0"/>
  </r>
  <r>
    <x v="38"/>
    <x v="164"/>
    <x v="164"/>
    <n v="3944"/>
    <x v="0"/>
    <n v="0"/>
  </r>
  <r>
    <x v="38"/>
    <x v="164"/>
    <x v="164"/>
    <n v="3946"/>
    <x v="0"/>
    <n v="0"/>
  </r>
  <r>
    <x v="38"/>
    <x v="164"/>
    <x v="164"/>
    <n v="3948"/>
    <x v="0"/>
    <n v="0"/>
  </r>
  <r>
    <x v="38"/>
    <x v="164"/>
    <x v="164"/>
    <n v="3950"/>
    <x v="0"/>
    <n v="0"/>
  </r>
  <r>
    <x v="38"/>
    <x v="165"/>
    <x v="165"/>
    <n v="3966"/>
    <x v="0"/>
    <n v="0"/>
  </r>
  <r>
    <x v="38"/>
    <x v="165"/>
    <x v="165"/>
    <n v="3968"/>
    <x v="0"/>
    <n v="0"/>
  </r>
  <r>
    <x v="38"/>
    <x v="165"/>
    <x v="165"/>
    <n v="3970"/>
    <x v="0"/>
    <n v="0"/>
  </r>
  <r>
    <x v="38"/>
    <x v="165"/>
    <x v="165"/>
    <n v="3972"/>
    <x v="0"/>
    <n v="0"/>
  </r>
  <r>
    <x v="38"/>
    <x v="165"/>
    <x v="165"/>
    <n v="3974"/>
    <x v="0"/>
    <n v="0"/>
  </r>
  <r>
    <x v="38"/>
    <x v="166"/>
    <x v="166"/>
    <n v="3990"/>
    <x v="0"/>
    <n v="0"/>
  </r>
  <r>
    <x v="38"/>
    <x v="166"/>
    <x v="166"/>
    <n v="3992"/>
    <x v="0"/>
    <n v="0"/>
  </r>
  <r>
    <x v="38"/>
    <x v="166"/>
    <x v="166"/>
    <n v="3994"/>
    <x v="0"/>
    <n v="0"/>
  </r>
  <r>
    <x v="38"/>
    <x v="166"/>
    <x v="166"/>
    <n v="3996"/>
    <x v="0"/>
    <n v="0"/>
  </r>
  <r>
    <x v="38"/>
    <x v="166"/>
    <x v="166"/>
    <n v="3998"/>
    <x v="0"/>
    <n v="0"/>
  </r>
  <r>
    <x v="39"/>
    <x v="167"/>
    <x v="167"/>
    <n v="4014"/>
    <x v="0"/>
    <n v="0"/>
  </r>
  <r>
    <x v="39"/>
    <x v="167"/>
    <x v="167"/>
    <n v="4016"/>
    <x v="0"/>
    <n v="0"/>
  </r>
  <r>
    <x v="39"/>
    <x v="167"/>
    <x v="167"/>
    <n v="4018"/>
    <x v="0"/>
    <n v="0"/>
  </r>
  <r>
    <x v="39"/>
    <x v="167"/>
    <x v="167"/>
    <n v="4020"/>
    <x v="0"/>
    <n v="0"/>
  </r>
  <r>
    <x v="39"/>
    <x v="167"/>
    <x v="167"/>
    <n v="4022"/>
    <x v="0"/>
    <n v="0"/>
  </r>
  <r>
    <x v="39"/>
    <x v="168"/>
    <x v="168"/>
    <n v="4038"/>
    <x v="0"/>
    <n v="0"/>
  </r>
  <r>
    <x v="39"/>
    <x v="168"/>
    <x v="168"/>
    <n v="4040"/>
    <x v="0"/>
    <n v="0"/>
  </r>
  <r>
    <x v="39"/>
    <x v="168"/>
    <x v="168"/>
    <n v="4042"/>
    <x v="0"/>
    <n v="0"/>
  </r>
  <r>
    <x v="39"/>
    <x v="168"/>
    <x v="168"/>
    <n v="4044"/>
    <x v="0"/>
    <n v="0"/>
  </r>
  <r>
    <x v="39"/>
    <x v="168"/>
    <x v="168"/>
    <n v="4046"/>
    <x v="0"/>
    <n v="0"/>
  </r>
  <r>
    <x v="39"/>
    <x v="169"/>
    <x v="169"/>
    <n v="4062"/>
    <x v="0"/>
    <n v="0"/>
  </r>
  <r>
    <x v="39"/>
    <x v="169"/>
    <x v="169"/>
    <n v="4064"/>
    <x v="0"/>
    <n v="0"/>
  </r>
  <r>
    <x v="39"/>
    <x v="169"/>
    <x v="169"/>
    <n v="4066"/>
    <x v="0"/>
    <n v="0"/>
  </r>
  <r>
    <x v="39"/>
    <x v="169"/>
    <x v="169"/>
    <n v="4068"/>
    <x v="0"/>
    <n v="0"/>
  </r>
  <r>
    <x v="39"/>
    <x v="169"/>
    <x v="169"/>
    <n v="4070"/>
    <x v="0"/>
    <n v="0"/>
  </r>
  <r>
    <x v="39"/>
    <x v="170"/>
    <x v="170"/>
    <n v="4086"/>
    <x v="0"/>
    <n v="0"/>
  </r>
  <r>
    <x v="39"/>
    <x v="170"/>
    <x v="170"/>
    <n v="4088"/>
    <x v="0"/>
    <n v="0"/>
  </r>
  <r>
    <x v="39"/>
    <x v="170"/>
    <x v="170"/>
    <n v="4090"/>
    <x v="0"/>
    <n v="0"/>
  </r>
  <r>
    <x v="39"/>
    <x v="170"/>
    <x v="170"/>
    <n v="4092"/>
    <x v="0"/>
    <n v="0"/>
  </r>
  <r>
    <x v="39"/>
    <x v="170"/>
    <x v="170"/>
    <n v="4094"/>
    <x v="0"/>
    <n v="0"/>
  </r>
  <r>
    <x v="39"/>
    <x v="171"/>
    <x v="171"/>
    <n v="4110"/>
    <x v="0"/>
    <n v="0"/>
  </r>
  <r>
    <x v="39"/>
    <x v="171"/>
    <x v="171"/>
    <n v="4112"/>
    <x v="0"/>
    <n v="0"/>
  </r>
  <r>
    <x v="39"/>
    <x v="171"/>
    <x v="171"/>
    <n v="4114"/>
    <x v="0"/>
    <n v="0"/>
  </r>
  <r>
    <x v="39"/>
    <x v="171"/>
    <x v="171"/>
    <n v="4116"/>
    <x v="0"/>
    <n v="0"/>
  </r>
  <r>
    <x v="39"/>
    <x v="171"/>
    <x v="171"/>
    <n v="4118"/>
    <x v="0"/>
    <n v="0"/>
  </r>
  <r>
    <x v="40"/>
    <x v="172"/>
    <x v="172"/>
    <n v="4134"/>
    <x v="0"/>
    <n v="0"/>
  </r>
  <r>
    <x v="40"/>
    <x v="172"/>
    <x v="172"/>
    <n v="4136"/>
    <x v="0"/>
    <n v="0"/>
  </r>
  <r>
    <x v="40"/>
    <x v="172"/>
    <x v="172"/>
    <n v="4138"/>
    <x v="0"/>
    <n v="0"/>
  </r>
  <r>
    <x v="40"/>
    <x v="172"/>
    <x v="172"/>
    <n v="4140"/>
    <x v="0"/>
    <n v="0"/>
  </r>
  <r>
    <x v="40"/>
    <x v="172"/>
    <x v="172"/>
    <n v="4142"/>
    <x v="0"/>
    <n v="0"/>
  </r>
  <r>
    <x v="40"/>
    <x v="173"/>
    <x v="173"/>
    <n v="4158"/>
    <x v="0"/>
    <n v="0"/>
  </r>
  <r>
    <x v="40"/>
    <x v="173"/>
    <x v="173"/>
    <n v="4160"/>
    <x v="0"/>
    <n v="0"/>
  </r>
  <r>
    <x v="40"/>
    <x v="173"/>
    <x v="173"/>
    <n v="4162"/>
    <x v="0"/>
    <n v="0"/>
  </r>
  <r>
    <x v="40"/>
    <x v="173"/>
    <x v="173"/>
    <n v="4164"/>
    <x v="0"/>
    <n v="0"/>
  </r>
  <r>
    <x v="40"/>
    <x v="173"/>
    <x v="173"/>
    <n v="4166"/>
    <x v="0"/>
    <n v="0"/>
  </r>
  <r>
    <x v="40"/>
    <x v="174"/>
    <x v="174"/>
    <n v="4182"/>
    <x v="0"/>
    <n v="0"/>
  </r>
  <r>
    <x v="40"/>
    <x v="174"/>
    <x v="174"/>
    <n v="4184"/>
    <x v="0"/>
    <n v="0"/>
  </r>
  <r>
    <x v="40"/>
    <x v="174"/>
    <x v="174"/>
    <n v="4186"/>
    <x v="0"/>
    <n v="0"/>
  </r>
  <r>
    <x v="40"/>
    <x v="174"/>
    <x v="174"/>
    <n v="4188"/>
    <x v="0"/>
    <n v="0"/>
  </r>
  <r>
    <x v="40"/>
    <x v="174"/>
    <x v="174"/>
    <n v="4190"/>
    <x v="0"/>
    <n v="0"/>
  </r>
  <r>
    <x v="40"/>
    <x v="175"/>
    <x v="175"/>
    <n v="4206"/>
    <x v="0"/>
    <n v="0"/>
  </r>
  <r>
    <x v="40"/>
    <x v="175"/>
    <x v="175"/>
    <n v="4208"/>
    <x v="0"/>
    <n v="0"/>
  </r>
  <r>
    <x v="40"/>
    <x v="175"/>
    <x v="175"/>
    <n v="4210"/>
    <x v="0"/>
    <n v="0"/>
  </r>
  <r>
    <x v="40"/>
    <x v="175"/>
    <x v="175"/>
    <n v="4212"/>
    <x v="0"/>
    <n v="0"/>
  </r>
  <r>
    <x v="40"/>
    <x v="175"/>
    <x v="175"/>
    <n v="4214"/>
    <x v="0"/>
    <n v="0"/>
  </r>
  <r>
    <x v="41"/>
    <x v="176"/>
    <x v="176"/>
    <n v="4230"/>
    <x v="0"/>
    <n v="0"/>
  </r>
  <r>
    <x v="41"/>
    <x v="176"/>
    <x v="176"/>
    <n v="4232"/>
    <x v="0"/>
    <n v="0"/>
  </r>
  <r>
    <x v="41"/>
    <x v="176"/>
    <x v="176"/>
    <n v="4234"/>
    <x v="0"/>
    <n v="0"/>
  </r>
  <r>
    <x v="41"/>
    <x v="176"/>
    <x v="176"/>
    <n v="4236"/>
    <x v="0"/>
    <n v="0"/>
  </r>
  <r>
    <x v="41"/>
    <x v="176"/>
    <x v="176"/>
    <n v="4238"/>
    <x v="0"/>
    <n v="0"/>
  </r>
  <r>
    <x v="41"/>
    <x v="177"/>
    <x v="177"/>
    <n v="4254"/>
    <x v="0"/>
    <n v="0"/>
  </r>
  <r>
    <x v="41"/>
    <x v="177"/>
    <x v="177"/>
    <n v="4256"/>
    <x v="0"/>
    <n v="0"/>
  </r>
  <r>
    <x v="41"/>
    <x v="177"/>
    <x v="177"/>
    <n v="4258"/>
    <x v="0"/>
    <n v="0"/>
  </r>
  <r>
    <x v="41"/>
    <x v="177"/>
    <x v="177"/>
    <n v="4260"/>
    <x v="0"/>
    <n v="0"/>
  </r>
  <r>
    <x v="41"/>
    <x v="177"/>
    <x v="177"/>
    <n v="4262"/>
    <x v="0"/>
    <n v="0"/>
  </r>
  <r>
    <x v="41"/>
    <x v="178"/>
    <x v="178"/>
    <n v="4278"/>
    <x v="0"/>
    <n v="0"/>
  </r>
  <r>
    <x v="41"/>
    <x v="178"/>
    <x v="178"/>
    <n v="4280"/>
    <x v="0"/>
    <n v="0"/>
  </r>
  <r>
    <x v="41"/>
    <x v="178"/>
    <x v="178"/>
    <n v="4282"/>
    <x v="0"/>
    <n v="0"/>
  </r>
  <r>
    <x v="41"/>
    <x v="178"/>
    <x v="178"/>
    <n v="4284"/>
    <x v="0"/>
    <n v="0"/>
  </r>
  <r>
    <x v="41"/>
    <x v="178"/>
    <x v="178"/>
    <n v="4286"/>
    <x v="0"/>
    <n v="0"/>
  </r>
  <r>
    <x v="41"/>
    <x v="179"/>
    <x v="179"/>
    <n v="4302"/>
    <x v="0"/>
    <n v="0"/>
  </r>
  <r>
    <x v="41"/>
    <x v="179"/>
    <x v="179"/>
    <n v="4304"/>
    <x v="0"/>
    <n v="0"/>
  </r>
  <r>
    <x v="41"/>
    <x v="179"/>
    <x v="179"/>
    <n v="4306"/>
    <x v="0"/>
    <n v="0"/>
  </r>
  <r>
    <x v="41"/>
    <x v="179"/>
    <x v="179"/>
    <n v="4308"/>
    <x v="0"/>
    <n v="0"/>
  </r>
  <r>
    <x v="41"/>
    <x v="179"/>
    <x v="179"/>
    <n v="4310"/>
    <x v="0"/>
    <n v="0"/>
  </r>
  <r>
    <x v="42"/>
    <x v="180"/>
    <x v="180"/>
    <n v="4326"/>
    <x v="0"/>
    <n v="0"/>
  </r>
  <r>
    <x v="42"/>
    <x v="180"/>
    <x v="180"/>
    <n v="4328"/>
    <x v="0"/>
    <n v="0"/>
  </r>
  <r>
    <x v="42"/>
    <x v="180"/>
    <x v="180"/>
    <n v="4330"/>
    <x v="0"/>
    <n v="0"/>
  </r>
  <r>
    <x v="42"/>
    <x v="180"/>
    <x v="180"/>
    <n v="4332"/>
    <x v="0"/>
    <n v="0"/>
  </r>
  <r>
    <x v="42"/>
    <x v="180"/>
    <x v="180"/>
    <n v="4334"/>
    <x v="0"/>
    <n v="0"/>
  </r>
  <r>
    <x v="42"/>
    <x v="181"/>
    <x v="181"/>
    <n v="4350"/>
    <x v="0"/>
    <n v="0"/>
  </r>
  <r>
    <x v="42"/>
    <x v="181"/>
    <x v="181"/>
    <n v="4352"/>
    <x v="0"/>
    <n v="0"/>
  </r>
  <r>
    <x v="42"/>
    <x v="181"/>
    <x v="181"/>
    <n v="4354"/>
    <x v="0"/>
    <n v="0"/>
  </r>
  <r>
    <x v="42"/>
    <x v="181"/>
    <x v="181"/>
    <n v="4356"/>
    <x v="0"/>
    <n v="0"/>
  </r>
  <r>
    <x v="42"/>
    <x v="181"/>
    <x v="181"/>
    <n v="4358"/>
    <x v="0"/>
    <n v="0"/>
  </r>
  <r>
    <x v="42"/>
    <x v="182"/>
    <x v="182"/>
    <n v="4374"/>
    <x v="0"/>
    <n v="0"/>
  </r>
  <r>
    <x v="42"/>
    <x v="182"/>
    <x v="182"/>
    <n v="4376"/>
    <x v="0"/>
    <n v="0"/>
  </r>
  <r>
    <x v="42"/>
    <x v="182"/>
    <x v="182"/>
    <n v="4378"/>
    <x v="0"/>
    <n v="0"/>
  </r>
  <r>
    <x v="42"/>
    <x v="182"/>
    <x v="182"/>
    <n v="4380"/>
    <x v="0"/>
    <n v="0"/>
  </r>
  <r>
    <x v="42"/>
    <x v="182"/>
    <x v="182"/>
    <n v="4382"/>
    <x v="0"/>
    <n v="0"/>
  </r>
  <r>
    <x v="42"/>
    <x v="183"/>
    <x v="183"/>
    <n v="4398"/>
    <x v="0"/>
    <n v="0"/>
  </r>
  <r>
    <x v="42"/>
    <x v="183"/>
    <x v="183"/>
    <n v="4400"/>
    <x v="0"/>
    <n v="0"/>
  </r>
  <r>
    <x v="42"/>
    <x v="183"/>
    <x v="183"/>
    <n v="4402"/>
    <x v="0"/>
    <n v="0"/>
  </r>
  <r>
    <x v="42"/>
    <x v="183"/>
    <x v="183"/>
    <n v="4404"/>
    <x v="0"/>
    <n v="0"/>
  </r>
  <r>
    <x v="42"/>
    <x v="183"/>
    <x v="183"/>
    <n v="4406"/>
    <x v="0"/>
    <n v="0"/>
  </r>
  <r>
    <x v="43"/>
    <x v="184"/>
    <x v="184"/>
    <n v="4422"/>
    <x v="0"/>
    <n v="0"/>
  </r>
  <r>
    <x v="43"/>
    <x v="184"/>
    <x v="184"/>
    <n v="4424"/>
    <x v="0"/>
    <n v="0"/>
  </r>
  <r>
    <x v="43"/>
    <x v="184"/>
    <x v="184"/>
    <n v="4426"/>
    <x v="0"/>
    <n v="0"/>
  </r>
  <r>
    <x v="43"/>
    <x v="184"/>
    <x v="184"/>
    <n v="4428"/>
    <x v="0"/>
    <n v="0"/>
  </r>
  <r>
    <x v="43"/>
    <x v="184"/>
    <x v="184"/>
    <n v="4430"/>
    <x v="0"/>
    <n v="0"/>
  </r>
  <r>
    <x v="43"/>
    <x v="185"/>
    <x v="185"/>
    <n v="4446"/>
    <x v="0"/>
    <n v="0"/>
  </r>
  <r>
    <x v="43"/>
    <x v="185"/>
    <x v="185"/>
    <n v="4448"/>
    <x v="0"/>
    <n v="0"/>
  </r>
  <r>
    <x v="43"/>
    <x v="185"/>
    <x v="185"/>
    <n v="4450"/>
    <x v="0"/>
    <n v="0"/>
  </r>
  <r>
    <x v="43"/>
    <x v="185"/>
    <x v="185"/>
    <n v="4452"/>
    <x v="0"/>
    <n v="0"/>
  </r>
  <r>
    <x v="43"/>
    <x v="185"/>
    <x v="185"/>
    <n v="4454"/>
    <x v="0"/>
    <n v="0"/>
  </r>
  <r>
    <x v="43"/>
    <x v="186"/>
    <x v="186"/>
    <n v="4470"/>
    <x v="0"/>
    <n v="0"/>
  </r>
  <r>
    <x v="43"/>
    <x v="186"/>
    <x v="186"/>
    <n v="4472"/>
    <x v="0"/>
    <n v="0"/>
  </r>
  <r>
    <x v="43"/>
    <x v="186"/>
    <x v="186"/>
    <n v="4474"/>
    <x v="0"/>
    <n v="0"/>
  </r>
  <r>
    <x v="43"/>
    <x v="186"/>
    <x v="186"/>
    <n v="4476"/>
    <x v="0"/>
    <n v="0"/>
  </r>
  <r>
    <x v="43"/>
    <x v="186"/>
    <x v="186"/>
    <n v="4478"/>
    <x v="0"/>
    <n v="0"/>
  </r>
  <r>
    <x v="43"/>
    <x v="187"/>
    <x v="187"/>
    <n v="4494"/>
    <x v="0"/>
    <n v="0"/>
  </r>
  <r>
    <x v="43"/>
    <x v="187"/>
    <x v="187"/>
    <n v="4496"/>
    <x v="0"/>
    <n v="0"/>
  </r>
  <r>
    <x v="43"/>
    <x v="187"/>
    <x v="187"/>
    <n v="4498"/>
    <x v="0"/>
    <n v="0"/>
  </r>
  <r>
    <x v="43"/>
    <x v="187"/>
    <x v="187"/>
    <n v="4500"/>
    <x v="0"/>
    <n v="0"/>
  </r>
  <r>
    <x v="43"/>
    <x v="187"/>
    <x v="187"/>
    <n v="4502"/>
    <x v="0"/>
    <n v="0"/>
  </r>
  <r>
    <x v="43"/>
    <x v="188"/>
    <x v="188"/>
    <n v="4518"/>
    <x v="0"/>
    <n v="0"/>
  </r>
  <r>
    <x v="43"/>
    <x v="188"/>
    <x v="188"/>
    <n v="4520"/>
    <x v="0"/>
    <n v="0"/>
  </r>
  <r>
    <x v="43"/>
    <x v="188"/>
    <x v="188"/>
    <n v="4522"/>
    <x v="0"/>
    <n v="0"/>
  </r>
  <r>
    <x v="43"/>
    <x v="188"/>
    <x v="188"/>
    <n v="4524"/>
    <x v="0"/>
    <n v="0"/>
  </r>
  <r>
    <x v="43"/>
    <x v="188"/>
    <x v="188"/>
    <n v="4526"/>
    <x v="0"/>
    <n v="0"/>
  </r>
  <r>
    <x v="44"/>
    <x v="189"/>
    <x v="189"/>
    <n v="4542"/>
    <x v="0"/>
    <n v="0"/>
  </r>
  <r>
    <x v="44"/>
    <x v="189"/>
    <x v="189"/>
    <n v="4544"/>
    <x v="0"/>
    <n v="0"/>
  </r>
  <r>
    <x v="44"/>
    <x v="189"/>
    <x v="189"/>
    <n v="4546"/>
    <x v="0"/>
    <n v="0"/>
  </r>
  <r>
    <x v="44"/>
    <x v="189"/>
    <x v="189"/>
    <n v="4548"/>
    <x v="0"/>
    <n v="0"/>
  </r>
  <r>
    <x v="44"/>
    <x v="189"/>
    <x v="189"/>
    <n v="4550"/>
    <x v="0"/>
    <n v="0"/>
  </r>
  <r>
    <x v="44"/>
    <x v="190"/>
    <x v="190"/>
    <n v="4566"/>
    <x v="0"/>
    <n v="0"/>
  </r>
  <r>
    <x v="44"/>
    <x v="190"/>
    <x v="190"/>
    <n v="4568"/>
    <x v="0"/>
    <n v="0"/>
  </r>
  <r>
    <x v="44"/>
    <x v="190"/>
    <x v="190"/>
    <n v="4570"/>
    <x v="0"/>
    <n v="0"/>
  </r>
  <r>
    <x v="44"/>
    <x v="190"/>
    <x v="190"/>
    <n v="4572"/>
    <x v="0"/>
    <n v="0"/>
  </r>
  <r>
    <x v="44"/>
    <x v="190"/>
    <x v="190"/>
    <n v="4574"/>
    <x v="0"/>
    <n v="0"/>
  </r>
  <r>
    <x v="44"/>
    <x v="191"/>
    <x v="191"/>
    <n v="4590"/>
    <x v="0"/>
    <n v="0"/>
  </r>
  <r>
    <x v="44"/>
    <x v="191"/>
    <x v="191"/>
    <n v="4592"/>
    <x v="0"/>
    <n v="0"/>
  </r>
  <r>
    <x v="44"/>
    <x v="191"/>
    <x v="191"/>
    <n v="4594"/>
    <x v="0"/>
    <n v="0"/>
  </r>
  <r>
    <x v="44"/>
    <x v="191"/>
    <x v="191"/>
    <n v="4596"/>
    <x v="0"/>
    <n v="0"/>
  </r>
  <r>
    <x v="44"/>
    <x v="191"/>
    <x v="191"/>
    <n v="4598"/>
    <x v="0"/>
    <n v="0"/>
  </r>
  <r>
    <x v="44"/>
    <x v="192"/>
    <x v="192"/>
    <n v="4614"/>
    <x v="0"/>
    <n v="0"/>
  </r>
  <r>
    <x v="44"/>
    <x v="192"/>
    <x v="192"/>
    <n v="4616"/>
    <x v="0"/>
    <n v="0"/>
  </r>
  <r>
    <x v="44"/>
    <x v="192"/>
    <x v="192"/>
    <n v="4618"/>
    <x v="0"/>
    <n v="0"/>
  </r>
  <r>
    <x v="44"/>
    <x v="192"/>
    <x v="192"/>
    <n v="4620"/>
    <x v="0"/>
    <n v="0"/>
  </r>
  <r>
    <x v="44"/>
    <x v="192"/>
    <x v="192"/>
    <n v="4622"/>
    <x v="0"/>
    <n v="0"/>
  </r>
  <r>
    <x v="45"/>
    <x v="193"/>
    <x v="193"/>
    <n v="4638"/>
    <x v="0"/>
    <n v="0"/>
  </r>
  <r>
    <x v="45"/>
    <x v="193"/>
    <x v="193"/>
    <n v="4640"/>
    <x v="0"/>
    <n v="0"/>
  </r>
  <r>
    <x v="45"/>
    <x v="193"/>
    <x v="193"/>
    <n v="4642"/>
    <x v="0"/>
    <n v="0"/>
  </r>
  <r>
    <x v="45"/>
    <x v="193"/>
    <x v="193"/>
    <n v="4644"/>
    <x v="0"/>
    <n v="0"/>
  </r>
  <r>
    <x v="45"/>
    <x v="193"/>
    <x v="193"/>
    <n v="4646"/>
    <x v="0"/>
    <n v="0"/>
  </r>
  <r>
    <x v="45"/>
    <x v="194"/>
    <x v="194"/>
    <n v="4662"/>
    <x v="0"/>
    <n v="0"/>
  </r>
  <r>
    <x v="45"/>
    <x v="194"/>
    <x v="194"/>
    <n v="4664"/>
    <x v="0"/>
    <n v="0"/>
  </r>
  <r>
    <x v="45"/>
    <x v="194"/>
    <x v="194"/>
    <n v="4666"/>
    <x v="0"/>
    <n v="0"/>
  </r>
  <r>
    <x v="45"/>
    <x v="194"/>
    <x v="194"/>
    <n v="4668"/>
    <x v="0"/>
    <n v="0"/>
  </r>
  <r>
    <x v="45"/>
    <x v="194"/>
    <x v="194"/>
    <n v="4670"/>
    <x v="0"/>
    <n v="0"/>
  </r>
  <r>
    <x v="45"/>
    <x v="195"/>
    <x v="195"/>
    <n v="4686"/>
    <x v="0"/>
    <n v="0"/>
  </r>
  <r>
    <x v="45"/>
    <x v="195"/>
    <x v="195"/>
    <n v="4688"/>
    <x v="0"/>
    <n v="0"/>
  </r>
  <r>
    <x v="45"/>
    <x v="195"/>
    <x v="195"/>
    <n v="4690"/>
    <x v="0"/>
    <n v="0"/>
  </r>
  <r>
    <x v="45"/>
    <x v="195"/>
    <x v="195"/>
    <n v="4692"/>
    <x v="0"/>
    <n v="0"/>
  </r>
  <r>
    <x v="45"/>
    <x v="195"/>
    <x v="195"/>
    <n v="4694"/>
    <x v="0"/>
    <n v="0"/>
  </r>
  <r>
    <x v="45"/>
    <x v="196"/>
    <x v="196"/>
    <n v="4710"/>
    <x v="0"/>
    <n v="0"/>
  </r>
  <r>
    <x v="45"/>
    <x v="196"/>
    <x v="196"/>
    <n v="4712"/>
    <x v="0"/>
    <n v="0"/>
  </r>
  <r>
    <x v="45"/>
    <x v="196"/>
    <x v="196"/>
    <n v="4714"/>
    <x v="0"/>
    <n v="0"/>
  </r>
  <r>
    <x v="45"/>
    <x v="196"/>
    <x v="196"/>
    <n v="4716"/>
    <x v="0"/>
    <n v="0"/>
  </r>
  <r>
    <x v="45"/>
    <x v="196"/>
    <x v="196"/>
    <n v="4718"/>
    <x v="0"/>
    <n v="0"/>
  </r>
  <r>
    <x v="46"/>
    <x v="197"/>
    <x v="197"/>
    <n v="4734"/>
    <x v="0"/>
    <n v="0"/>
  </r>
  <r>
    <x v="46"/>
    <x v="197"/>
    <x v="197"/>
    <n v="4736"/>
    <x v="0"/>
    <n v="0"/>
  </r>
  <r>
    <x v="46"/>
    <x v="197"/>
    <x v="197"/>
    <n v="4738"/>
    <x v="0"/>
    <n v="0"/>
  </r>
  <r>
    <x v="46"/>
    <x v="197"/>
    <x v="197"/>
    <n v="4740"/>
    <x v="0"/>
    <n v="0"/>
  </r>
  <r>
    <x v="46"/>
    <x v="197"/>
    <x v="197"/>
    <n v="4742"/>
    <x v="0"/>
    <n v="0"/>
  </r>
  <r>
    <x v="46"/>
    <x v="198"/>
    <x v="198"/>
    <n v="4758"/>
    <x v="0"/>
    <n v="0"/>
  </r>
  <r>
    <x v="46"/>
    <x v="198"/>
    <x v="198"/>
    <n v="4760"/>
    <x v="0"/>
    <n v="0"/>
  </r>
  <r>
    <x v="46"/>
    <x v="198"/>
    <x v="198"/>
    <n v="4762"/>
    <x v="0"/>
    <n v="0"/>
  </r>
  <r>
    <x v="46"/>
    <x v="198"/>
    <x v="198"/>
    <n v="4764"/>
    <x v="0"/>
    <n v="0"/>
  </r>
  <r>
    <x v="46"/>
    <x v="198"/>
    <x v="198"/>
    <n v="4766"/>
    <x v="0"/>
    <n v="0"/>
  </r>
  <r>
    <x v="46"/>
    <x v="199"/>
    <x v="199"/>
    <n v="4782"/>
    <x v="0"/>
    <n v="0"/>
  </r>
  <r>
    <x v="46"/>
    <x v="199"/>
    <x v="199"/>
    <n v="4784"/>
    <x v="0"/>
    <n v="0"/>
  </r>
  <r>
    <x v="46"/>
    <x v="199"/>
    <x v="199"/>
    <n v="4786"/>
    <x v="0"/>
    <n v="0"/>
  </r>
  <r>
    <x v="46"/>
    <x v="199"/>
    <x v="199"/>
    <n v="4788"/>
    <x v="0"/>
    <n v="0"/>
  </r>
  <r>
    <x v="46"/>
    <x v="199"/>
    <x v="199"/>
    <n v="4790"/>
    <x v="0"/>
    <n v="0"/>
  </r>
  <r>
    <x v="46"/>
    <x v="200"/>
    <x v="200"/>
    <n v="4806"/>
    <x v="0"/>
    <n v="0"/>
  </r>
  <r>
    <x v="46"/>
    <x v="200"/>
    <x v="200"/>
    <n v="4808"/>
    <x v="0"/>
    <n v="0"/>
  </r>
  <r>
    <x v="46"/>
    <x v="200"/>
    <x v="200"/>
    <n v="4810"/>
    <x v="0"/>
    <n v="0"/>
  </r>
  <r>
    <x v="46"/>
    <x v="200"/>
    <x v="200"/>
    <n v="4812"/>
    <x v="0"/>
    <n v="0"/>
  </r>
  <r>
    <x v="46"/>
    <x v="200"/>
    <x v="200"/>
    <n v="4814"/>
    <x v="0"/>
    <n v="0"/>
  </r>
  <r>
    <x v="46"/>
    <x v="201"/>
    <x v="201"/>
    <n v="4830"/>
    <x v="0"/>
    <n v="0"/>
  </r>
  <r>
    <x v="46"/>
    <x v="201"/>
    <x v="201"/>
    <n v="4832"/>
    <x v="0"/>
    <n v="0"/>
  </r>
  <r>
    <x v="46"/>
    <x v="201"/>
    <x v="201"/>
    <n v="4834"/>
    <x v="0"/>
    <n v="0"/>
  </r>
  <r>
    <x v="46"/>
    <x v="201"/>
    <x v="201"/>
    <n v="4836"/>
    <x v="0"/>
    <n v="0"/>
  </r>
  <r>
    <x v="46"/>
    <x v="201"/>
    <x v="201"/>
    <n v="4838"/>
    <x v="0"/>
    <n v="0"/>
  </r>
  <r>
    <x v="47"/>
    <x v="202"/>
    <x v="202"/>
    <n v="4854"/>
    <x v="0"/>
    <n v="0"/>
  </r>
  <r>
    <x v="47"/>
    <x v="202"/>
    <x v="202"/>
    <n v="4856"/>
    <x v="0"/>
    <n v="0"/>
  </r>
  <r>
    <x v="47"/>
    <x v="202"/>
    <x v="202"/>
    <n v="4858"/>
    <x v="0"/>
    <n v="0"/>
  </r>
  <r>
    <x v="47"/>
    <x v="202"/>
    <x v="202"/>
    <n v="4860"/>
    <x v="0"/>
    <n v="0"/>
  </r>
  <r>
    <x v="47"/>
    <x v="202"/>
    <x v="202"/>
    <n v="4862"/>
    <x v="0"/>
    <n v="0"/>
  </r>
  <r>
    <x v="47"/>
    <x v="203"/>
    <x v="203"/>
    <n v="4878"/>
    <x v="0"/>
    <n v="0"/>
  </r>
  <r>
    <x v="47"/>
    <x v="203"/>
    <x v="203"/>
    <n v="4880"/>
    <x v="0"/>
    <n v="0"/>
  </r>
  <r>
    <x v="47"/>
    <x v="203"/>
    <x v="203"/>
    <n v="4882"/>
    <x v="0"/>
    <n v="0"/>
  </r>
  <r>
    <x v="47"/>
    <x v="203"/>
    <x v="203"/>
    <n v="4884"/>
    <x v="0"/>
    <n v="0"/>
  </r>
  <r>
    <x v="47"/>
    <x v="203"/>
    <x v="203"/>
    <n v="4886"/>
    <x v="0"/>
    <n v="0"/>
  </r>
  <r>
    <x v="47"/>
    <x v="204"/>
    <x v="204"/>
    <n v="4902"/>
    <x v="0"/>
    <n v="0"/>
  </r>
  <r>
    <x v="47"/>
    <x v="204"/>
    <x v="204"/>
    <n v="4904"/>
    <x v="0"/>
    <n v="0"/>
  </r>
  <r>
    <x v="47"/>
    <x v="204"/>
    <x v="204"/>
    <n v="4906"/>
    <x v="0"/>
    <n v="0"/>
  </r>
  <r>
    <x v="47"/>
    <x v="204"/>
    <x v="204"/>
    <n v="4908"/>
    <x v="0"/>
    <n v="0"/>
  </r>
  <r>
    <x v="47"/>
    <x v="204"/>
    <x v="204"/>
    <n v="4910"/>
    <x v="0"/>
    <n v="0"/>
  </r>
  <r>
    <x v="47"/>
    <x v="205"/>
    <x v="205"/>
    <n v="4926"/>
    <x v="0"/>
    <n v="0"/>
  </r>
  <r>
    <x v="47"/>
    <x v="205"/>
    <x v="205"/>
    <n v="4928"/>
    <x v="0"/>
    <n v="0"/>
  </r>
  <r>
    <x v="47"/>
    <x v="205"/>
    <x v="205"/>
    <n v="4930"/>
    <x v="0"/>
    <n v="0"/>
  </r>
  <r>
    <x v="47"/>
    <x v="205"/>
    <x v="205"/>
    <n v="4932"/>
    <x v="0"/>
    <n v="0"/>
  </r>
  <r>
    <x v="47"/>
    <x v="205"/>
    <x v="205"/>
    <n v="4934"/>
    <x v="0"/>
    <n v="0"/>
  </r>
  <r>
    <x v="48"/>
    <x v="206"/>
    <x v="206"/>
    <n v="4950"/>
    <x v="0"/>
    <n v="0"/>
  </r>
  <r>
    <x v="48"/>
    <x v="206"/>
    <x v="206"/>
    <n v="4952"/>
    <x v="0"/>
    <n v="0"/>
  </r>
  <r>
    <x v="48"/>
    <x v="206"/>
    <x v="206"/>
    <n v="4954"/>
    <x v="0"/>
    <n v="0"/>
  </r>
  <r>
    <x v="48"/>
    <x v="206"/>
    <x v="206"/>
    <n v="4956"/>
    <x v="0"/>
    <n v="0"/>
  </r>
  <r>
    <x v="48"/>
    <x v="206"/>
    <x v="206"/>
    <n v="4958"/>
    <x v="0"/>
    <n v="0"/>
  </r>
  <r>
    <x v="48"/>
    <x v="207"/>
    <x v="207"/>
    <n v="4974"/>
    <x v="0"/>
    <n v="0"/>
  </r>
  <r>
    <x v="48"/>
    <x v="207"/>
    <x v="207"/>
    <n v="4976"/>
    <x v="0"/>
    <n v="0"/>
  </r>
  <r>
    <x v="48"/>
    <x v="207"/>
    <x v="207"/>
    <n v="4978"/>
    <x v="0"/>
    <n v="0"/>
  </r>
  <r>
    <x v="48"/>
    <x v="207"/>
    <x v="207"/>
    <n v="4980"/>
    <x v="0"/>
    <n v="0"/>
  </r>
  <r>
    <x v="48"/>
    <x v="207"/>
    <x v="207"/>
    <n v="4982"/>
    <x v="0"/>
    <n v="0"/>
  </r>
  <r>
    <x v="48"/>
    <x v="208"/>
    <x v="208"/>
    <n v="4998"/>
    <x v="0"/>
    <n v="0"/>
  </r>
  <r>
    <x v="48"/>
    <x v="208"/>
    <x v="208"/>
    <n v="5000"/>
    <x v="0"/>
    <n v="0"/>
  </r>
  <r>
    <x v="48"/>
    <x v="208"/>
    <x v="208"/>
    <n v="5002"/>
    <x v="0"/>
    <n v="0"/>
  </r>
  <r>
    <x v="48"/>
    <x v="208"/>
    <x v="208"/>
    <n v="5004"/>
    <x v="0"/>
    <n v="0"/>
  </r>
  <r>
    <x v="48"/>
    <x v="208"/>
    <x v="208"/>
    <n v="5006"/>
    <x v="0"/>
    <n v="0"/>
  </r>
  <r>
    <x v="48"/>
    <x v="209"/>
    <x v="209"/>
    <n v="5022"/>
    <x v="0"/>
    <n v="0"/>
  </r>
  <r>
    <x v="48"/>
    <x v="209"/>
    <x v="209"/>
    <n v="5024"/>
    <x v="0"/>
    <n v="0"/>
  </r>
  <r>
    <x v="48"/>
    <x v="209"/>
    <x v="209"/>
    <n v="5026"/>
    <x v="0"/>
    <n v="0"/>
  </r>
  <r>
    <x v="48"/>
    <x v="209"/>
    <x v="209"/>
    <n v="5028"/>
    <x v="0"/>
    <n v="0"/>
  </r>
  <r>
    <x v="48"/>
    <x v="209"/>
    <x v="209"/>
    <n v="5030"/>
    <x v="0"/>
    <n v="0"/>
  </r>
  <r>
    <x v="48"/>
    <x v="210"/>
    <x v="210"/>
    <n v="5046"/>
    <x v="0"/>
    <n v="0"/>
  </r>
  <r>
    <x v="48"/>
    <x v="210"/>
    <x v="210"/>
    <n v="5048"/>
    <x v="0"/>
    <n v="0"/>
  </r>
  <r>
    <x v="48"/>
    <x v="210"/>
    <x v="210"/>
    <n v="5050"/>
    <x v="0"/>
    <n v="0"/>
  </r>
  <r>
    <x v="48"/>
    <x v="210"/>
    <x v="210"/>
    <n v="5052"/>
    <x v="0"/>
    <n v="0"/>
  </r>
  <r>
    <x v="48"/>
    <x v="210"/>
    <x v="210"/>
    <n v="5054"/>
    <x v="0"/>
    <n v="0"/>
  </r>
  <r>
    <x v="49"/>
    <x v="211"/>
    <x v="211"/>
    <n v="5070"/>
    <x v="0"/>
    <n v="0"/>
  </r>
  <r>
    <x v="49"/>
    <x v="211"/>
    <x v="211"/>
    <n v="5072"/>
    <x v="0"/>
    <n v="0"/>
  </r>
  <r>
    <x v="49"/>
    <x v="211"/>
    <x v="211"/>
    <n v="5074"/>
    <x v="0"/>
    <n v="0"/>
  </r>
  <r>
    <x v="49"/>
    <x v="211"/>
    <x v="211"/>
    <n v="5076"/>
    <x v="0"/>
    <n v="0"/>
  </r>
  <r>
    <x v="49"/>
    <x v="211"/>
    <x v="211"/>
    <n v="5078"/>
    <x v="0"/>
    <n v="0"/>
  </r>
  <r>
    <x v="49"/>
    <x v="212"/>
    <x v="212"/>
    <n v="5094"/>
    <x v="0"/>
    <n v="0"/>
  </r>
  <r>
    <x v="49"/>
    <x v="212"/>
    <x v="212"/>
    <n v="5096"/>
    <x v="0"/>
    <n v="0"/>
  </r>
  <r>
    <x v="49"/>
    <x v="212"/>
    <x v="212"/>
    <n v="5098"/>
    <x v="0"/>
    <n v="0"/>
  </r>
  <r>
    <x v="49"/>
    <x v="212"/>
    <x v="212"/>
    <n v="5100"/>
    <x v="0"/>
    <n v="0"/>
  </r>
  <r>
    <x v="49"/>
    <x v="212"/>
    <x v="212"/>
    <n v="5102"/>
    <x v="0"/>
    <n v="0"/>
  </r>
  <r>
    <x v="49"/>
    <x v="213"/>
    <x v="213"/>
    <n v="5118"/>
    <x v="0"/>
    <n v="0"/>
  </r>
  <r>
    <x v="49"/>
    <x v="213"/>
    <x v="213"/>
    <n v="5120"/>
    <x v="0"/>
    <n v="0"/>
  </r>
  <r>
    <x v="49"/>
    <x v="213"/>
    <x v="213"/>
    <n v="5122"/>
    <x v="0"/>
    <n v="0"/>
  </r>
  <r>
    <x v="49"/>
    <x v="213"/>
    <x v="213"/>
    <n v="5124"/>
    <x v="0"/>
    <n v="0"/>
  </r>
  <r>
    <x v="49"/>
    <x v="213"/>
    <x v="213"/>
    <n v="5126"/>
    <x v="0"/>
    <n v="0"/>
  </r>
  <r>
    <x v="49"/>
    <x v="214"/>
    <x v="214"/>
    <n v="5142"/>
    <x v="0"/>
    <n v="0"/>
  </r>
  <r>
    <x v="49"/>
    <x v="214"/>
    <x v="214"/>
    <n v="5144"/>
    <x v="0"/>
    <n v="0"/>
  </r>
  <r>
    <x v="49"/>
    <x v="214"/>
    <x v="214"/>
    <n v="5146"/>
    <x v="0"/>
    <n v="0"/>
  </r>
  <r>
    <x v="49"/>
    <x v="214"/>
    <x v="214"/>
    <n v="5148"/>
    <x v="0"/>
    <n v="0"/>
  </r>
  <r>
    <x v="49"/>
    <x v="214"/>
    <x v="214"/>
    <n v="5150"/>
    <x v="0"/>
    <n v="0"/>
  </r>
  <r>
    <x v="50"/>
    <x v="215"/>
    <x v="215"/>
    <n v="5166"/>
    <x v="0"/>
    <n v="0"/>
  </r>
  <r>
    <x v="50"/>
    <x v="215"/>
    <x v="215"/>
    <n v="5168"/>
    <x v="0"/>
    <n v="0"/>
  </r>
  <r>
    <x v="50"/>
    <x v="215"/>
    <x v="215"/>
    <n v="5170"/>
    <x v="0"/>
    <n v="0"/>
  </r>
  <r>
    <x v="50"/>
    <x v="215"/>
    <x v="215"/>
    <n v="5172"/>
    <x v="0"/>
    <n v="0"/>
  </r>
  <r>
    <x v="50"/>
    <x v="215"/>
    <x v="215"/>
    <n v="5174"/>
    <x v="0"/>
    <n v="0"/>
  </r>
  <r>
    <x v="50"/>
    <x v="216"/>
    <x v="216"/>
    <n v="5190"/>
    <x v="0"/>
    <n v="0"/>
  </r>
  <r>
    <x v="50"/>
    <x v="216"/>
    <x v="216"/>
    <n v="5192"/>
    <x v="0"/>
    <n v="0"/>
  </r>
  <r>
    <x v="50"/>
    <x v="216"/>
    <x v="216"/>
    <n v="5194"/>
    <x v="0"/>
    <n v="0"/>
  </r>
  <r>
    <x v="50"/>
    <x v="216"/>
    <x v="216"/>
    <n v="5196"/>
    <x v="0"/>
    <n v="0"/>
  </r>
  <r>
    <x v="50"/>
    <x v="216"/>
    <x v="216"/>
    <n v="5198"/>
    <x v="0"/>
    <n v="0"/>
  </r>
  <r>
    <x v="50"/>
    <x v="217"/>
    <x v="217"/>
    <n v="5214"/>
    <x v="0"/>
    <n v="0"/>
  </r>
  <r>
    <x v="50"/>
    <x v="217"/>
    <x v="217"/>
    <n v="5216"/>
    <x v="0"/>
    <n v="0"/>
  </r>
  <r>
    <x v="50"/>
    <x v="217"/>
    <x v="217"/>
    <n v="5218"/>
    <x v="0"/>
    <n v="0"/>
  </r>
  <r>
    <x v="50"/>
    <x v="217"/>
    <x v="217"/>
    <n v="5220"/>
    <x v="0"/>
    <n v="0"/>
  </r>
  <r>
    <x v="50"/>
    <x v="217"/>
    <x v="217"/>
    <n v="5222"/>
    <x v="0"/>
    <n v="0"/>
  </r>
  <r>
    <x v="50"/>
    <x v="218"/>
    <x v="218"/>
    <n v="5238"/>
    <x v="0"/>
    <n v="0"/>
  </r>
  <r>
    <x v="50"/>
    <x v="218"/>
    <x v="218"/>
    <n v="5240"/>
    <x v="0"/>
    <n v="0"/>
  </r>
  <r>
    <x v="50"/>
    <x v="218"/>
    <x v="218"/>
    <n v="5242"/>
    <x v="0"/>
    <n v="0"/>
  </r>
  <r>
    <x v="50"/>
    <x v="218"/>
    <x v="218"/>
    <n v="5244"/>
    <x v="0"/>
    <n v="0"/>
  </r>
  <r>
    <x v="50"/>
    <x v="218"/>
    <x v="218"/>
    <n v="5246"/>
    <x v="0"/>
    <n v="0"/>
  </r>
  <r>
    <x v="51"/>
    <x v="219"/>
    <x v="219"/>
    <n v="5262"/>
    <x v="0"/>
    <n v="0"/>
  </r>
  <r>
    <x v="51"/>
    <x v="219"/>
    <x v="219"/>
    <n v="5264"/>
    <x v="0"/>
    <n v="0"/>
  </r>
  <r>
    <x v="51"/>
    <x v="219"/>
    <x v="219"/>
    <n v="5266"/>
    <x v="0"/>
    <n v="0"/>
  </r>
  <r>
    <x v="51"/>
    <x v="219"/>
    <x v="219"/>
    <n v="5268"/>
    <x v="0"/>
    <n v="0"/>
  </r>
  <r>
    <x v="51"/>
    <x v="219"/>
    <x v="219"/>
    <n v="5270"/>
    <x v="0"/>
    <n v="0"/>
  </r>
  <r>
    <x v="51"/>
    <x v="220"/>
    <x v="220"/>
    <n v="5286"/>
    <x v="0"/>
    <n v="0"/>
  </r>
  <r>
    <x v="51"/>
    <x v="220"/>
    <x v="220"/>
    <n v="5288"/>
    <x v="0"/>
    <n v="0"/>
  </r>
  <r>
    <x v="51"/>
    <x v="220"/>
    <x v="220"/>
    <n v="5290"/>
    <x v="0"/>
    <n v="0"/>
  </r>
  <r>
    <x v="51"/>
    <x v="220"/>
    <x v="220"/>
    <n v="5292"/>
    <x v="0"/>
    <n v="0"/>
  </r>
  <r>
    <x v="51"/>
    <x v="220"/>
    <x v="220"/>
    <n v="5294"/>
    <x v="0"/>
    <n v="0"/>
  </r>
  <r>
    <x v="51"/>
    <x v="221"/>
    <x v="221"/>
    <n v="5310"/>
    <x v="0"/>
    <n v="0"/>
  </r>
  <r>
    <x v="51"/>
    <x v="221"/>
    <x v="221"/>
    <n v="5312"/>
    <x v="0"/>
    <n v="0"/>
  </r>
  <r>
    <x v="51"/>
    <x v="221"/>
    <x v="221"/>
    <n v="5314"/>
    <x v="0"/>
    <n v="0"/>
  </r>
  <r>
    <x v="51"/>
    <x v="221"/>
    <x v="221"/>
    <n v="5316"/>
    <x v="0"/>
    <n v="0"/>
  </r>
  <r>
    <x v="51"/>
    <x v="221"/>
    <x v="221"/>
    <n v="5318"/>
    <x v="0"/>
    <n v="0"/>
  </r>
  <r>
    <x v="51"/>
    <x v="222"/>
    <x v="222"/>
    <n v="5334"/>
    <x v="0"/>
    <n v="0"/>
  </r>
  <r>
    <x v="51"/>
    <x v="222"/>
    <x v="222"/>
    <n v="5336"/>
    <x v="0"/>
    <n v="0"/>
  </r>
  <r>
    <x v="51"/>
    <x v="222"/>
    <x v="222"/>
    <n v="5338"/>
    <x v="0"/>
    <n v="0"/>
  </r>
  <r>
    <x v="51"/>
    <x v="222"/>
    <x v="222"/>
    <n v="5340"/>
    <x v="0"/>
    <n v="0"/>
  </r>
  <r>
    <x v="51"/>
    <x v="222"/>
    <x v="222"/>
    <n v="5342"/>
    <x v="0"/>
    <n v="0"/>
  </r>
  <r>
    <x v="51"/>
    <x v="223"/>
    <x v="223"/>
    <n v="5358"/>
    <x v="0"/>
    <n v="0"/>
  </r>
  <r>
    <x v="51"/>
    <x v="223"/>
    <x v="223"/>
    <n v="5360"/>
    <x v="0"/>
    <n v="0"/>
  </r>
  <r>
    <x v="51"/>
    <x v="223"/>
    <x v="223"/>
    <n v="5362"/>
    <x v="0"/>
    <n v="0"/>
  </r>
  <r>
    <x v="51"/>
    <x v="223"/>
    <x v="223"/>
    <n v="5364"/>
    <x v="0"/>
    <n v="0"/>
  </r>
  <r>
    <x v="51"/>
    <x v="223"/>
    <x v="223"/>
    <n v="5366"/>
    <x v="0"/>
    <n v="0"/>
  </r>
  <r>
    <x v="52"/>
    <x v="224"/>
    <x v="224"/>
    <n v="5382"/>
    <x v="0"/>
    <n v="0"/>
  </r>
  <r>
    <x v="52"/>
    <x v="224"/>
    <x v="224"/>
    <n v="5384"/>
    <x v="0"/>
    <n v="0"/>
  </r>
  <r>
    <x v="52"/>
    <x v="224"/>
    <x v="224"/>
    <n v="5386"/>
    <x v="0"/>
    <n v="0"/>
  </r>
  <r>
    <x v="52"/>
    <x v="224"/>
    <x v="224"/>
    <n v="5388"/>
    <x v="0"/>
    <n v="0"/>
  </r>
  <r>
    <x v="52"/>
    <x v="224"/>
    <x v="224"/>
    <n v="5390"/>
    <x v="0"/>
    <n v="0"/>
  </r>
  <r>
    <x v="52"/>
    <x v="225"/>
    <x v="225"/>
    <n v="5406"/>
    <x v="0"/>
    <n v="0"/>
  </r>
  <r>
    <x v="52"/>
    <x v="225"/>
    <x v="225"/>
    <n v="5408"/>
    <x v="0"/>
    <n v="0"/>
  </r>
  <r>
    <x v="52"/>
    <x v="225"/>
    <x v="225"/>
    <n v="5410"/>
    <x v="0"/>
    <n v="0"/>
  </r>
  <r>
    <x v="52"/>
    <x v="225"/>
    <x v="225"/>
    <n v="5412"/>
    <x v="0"/>
    <n v="0"/>
  </r>
  <r>
    <x v="52"/>
    <x v="225"/>
    <x v="225"/>
    <n v="5414"/>
    <x v="0"/>
    <n v="0"/>
  </r>
  <r>
    <x v="52"/>
    <x v="226"/>
    <x v="226"/>
    <n v="5430"/>
    <x v="0"/>
    <n v="0"/>
  </r>
  <r>
    <x v="52"/>
    <x v="226"/>
    <x v="226"/>
    <n v="5432"/>
    <x v="0"/>
    <n v="0"/>
  </r>
  <r>
    <x v="52"/>
    <x v="226"/>
    <x v="226"/>
    <n v="5434"/>
    <x v="0"/>
    <n v="0"/>
  </r>
  <r>
    <x v="52"/>
    <x v="226"/>
    <x v="226"/>
    <n v="5436"/>
    <x v="0"/>
    <n v="0"/>
  </r>
  <r>
    <x v="52"/>
    <x v="226"/>
    <x v="226"/>
    <n v="5438"/>
    <x v="0"/>
    <n v="0"/>
  </r>
  <r>
    <x v="52"/>
    <x v="227"/>
    <x v="227"/>
    <n v="5454"/>
    <x v="0"/>
    <n v="0"/>
  </r>
  <r>
    <x v="52"/>
    <x v="227"/>
    <x v="227"/>
    <n v="5456"/>
    <x v="0"/>
    <n v="0"/>
  </r>
  <r>
    <x v="52"/>
    <x v="227"/>
    <x v="227"/>
    <n v="5458"/>
    <x v="0"/>
    <n v="0"/>
  </r>
  <r>
    <x v="52"/>
    <x v="227"/>
    <x v="227"/>
    <n v="5460"/>
    <x v="0"/>
    <n v="0"/>
  </r>
  <r>
    <x v="52"/>
    <x v="227"/>
    <x v="227"/>
    <n v="5462"/>
    <x v="0"/>
    <n v="0"/>
  </r>
  <r>
    <x v="53"/>
    <x v="228"/>
    <x v="228"/>
    <n v="5478"/>
    <x v="0"/>
    <n v="0"/>
  </r>
  <r>
    <x v="53"/>
    <x v="228"/>
    <x v="228"/>
    <n v="5480"/>
    <x v="0"/>
    <n v="0"/>
  </r>
  <r>
    <x v="53"/>
    <x v="228"/>
    <x v="228"/>
    <n v="5482"/>
    <x v="0"/>
    <n v="0"/>
  </r>
  <r>
    <x v="53"/>
    <x v="228"/>
    <x v="228"/>
    <n v="5484"/>
    <x v="0"/>
    <n v="0"/>
  </r>
  <r>
    <x v="53"/>
    <x v="228"/>
    <x v="228"/>
    <n v="5486"/>
    <x v="0"/>
    <n v="0"/>
  </r>
  <r>
    <x v="53"/>
    <x v="229"/>
    <x v="229"/>
    <n v="5502"/>
    <x v="0"/>
    <n v="0"/>
  </r>
  <r>
    <x v="53"/>
    <x v="229"/>
    <x v="229"/>
    <n v="5504"/>
    <x v="0"/>
    <n v="0"/>
  </r>
  <r>
    <x v="53"/>
    <x v="229"/>
    <x v="229"/>
    <n v="5506"/>
    <x v="0"/>
    <n v="0"/>
  </r>
  <r>
    <x v="53"/>
    <x v="229"/>
    <x v="229"/>
    <n v="5508"/>
    <x v="0"/>
    <n v="0"/>
  </r>
  <r>
    <x v="53"/>
    <x v="229"/>
    <x v="229"/>
    <n v="5510"/>
    <x v="0"/>
    <n v="0"/>
  </r>
  <r>
    <x v="53"/>
    <x v="230"/>
    <x v="230"/>
    <n v="5526"/>
    <x v="0"/>
    <n v="0"/>
  </r>
  <r>
    <x v="53"/>
    <x v="230"/>
    <x v="230"/>
    <n v="5528"/>
    <x v="0"/>
    <n v="0"/>
  </r>
  <r>
    <x v="53"/>
    <x v="230"/>
    <x v="230"/>
    <n v="5530"/>
    <x v="0"/>
    <n v="0"/>
  </r>
  <r>
    <x v="53"/>
    <x v="230"/>
    <x v="230"/>
    <n v="5532"/>
    <x v="0"/>
    <n v="0"/>
  </r>
  <r>
    <x v="53"/>
    <x v="230"/>
    <x v="230"/>
    <n v="5534"/>
    <x v="0"/>
    <n v="0"/>
  </r>
  <r>
    <x v="53"/>
    <x v="231"/>
    <x v="231"/>
    <n v="5550"/>
    <x v="0"/>
    <n v="0"/>
  </r>
  <r>
    <x v="53"/>
    <x v="231"/>
    <x v="231"/>
    <n v="5552"/>
    <x v="0"/>
    <n v="0"/>
  </r>
  <r>
    <x v="53"/>
    <x v="231"/>
    <x v="231"/>
    <n v="5554"/>
    <x v="0"/>
    <n v="0"/>
  </r>
  <r>
    <x v="53"/>
    <x v="231"/>
    <x v="231"/>
    <n v="5556"/>
    <x v="0"/>
    <n v="0"/>
  </r>
  <r>
    <x v="53"/>
    <x v="231"/>
    <x v="231"/>
    <n v="5558"/>
    <x v="0"/>
    <n v="0"/>
  </r>
  <r>
    <x v="54"/>
    <x v="232"/>
    <x v="232"/>
    <n v="5574"/>
    <x v="0"/>
    <n v="0"/>
  </r>
  <r>
    <x v="54"/>
    <x v="232"/>
    <x v="232"/>
    <n v="5576"/>
    <x v="0"/>
    <n v="0"/>
  </r>
  <r>
    <x v="54"/>
    <x v="232"/>
    <x v="232"/>
    <n v="5578"/>
    <x v="0"/>
    <n v="0"/>
  </r>
  <r>
    <x v="54"/>
    <x v="232"/>
    <x v="232"/>
    <n v="5580"/>
    <x v="0"/>
    <n v="0"/>
  </r>
  <r>
    <x v="54"/>
    <x v="232"/>
    <x v="232"/>
    <n v="5582"/>
    <x v="0"/>
    <n v="0"/>
  </r>
  <r>
    <x v="54"/>
    <x v="233"/>
    <x v="233"/>
    <n v="5598"/>
    <x v="0"/>
    <n v="0"/>
  </r>
  <r>
    <x v="54"/>
    <x v="233"/>
    <x v="233"/>
    <n v="5600"/>
    <x v="0"/>
    <n v="0"/>
  </r>
  <r>
    <x v="54"/>
    <x v="233"/>
    <x v="233"/>
    <n v="5602"/>
    <x v="0"/>
    <n v="0"/>
  </r>
  <r>
    <x v="54"/>
    <x v="233"/>
    <x v="233"/>
    <n v="5604"/>
    <x v="0"/>
    <n v="0"/>
  </r>
  <r>
    <x v="54"/>
    <x v="233"/>
    <x v="233"/>
    <n v="5606"/>
    <x v="0"/>
    <n v="0"/>
  </r>
  <r>
    <x v="54"/>
    <x v="234"/>
    <x v="234"/>
    <n v="5622"/>
    <x v="0"/>
    <n v="0"/>
  </r>
  <r>
    <x v="54"/>
    <x v="234"/>
    <x v="234"/>
    <n v="5624"/>
    <x v="0"/>
    <n v="0"/>
  </r>
  <r>
    <x v="54"/>
    <x v="234"/>
    <x v="234"/>
    <n v="5626"/>
    <x v="0"/>
    <n v="0"/>
  </r>
  <r>
    <x v="54"/>
    <x v="234"/>
    <x v="234"/>
    <n v="5628"/>
    <x v="0"/>
    <n v="0"/>
  </r>
  <r>
    <x v="54"/>
    <x v="234"/>
    <x v="234"/>
    <n v="5630"/>
    <x v="0"/>
    <n v="0"/>
  </r>
  <r>
    <x v="54"/>
    <x v="235"/>
    <x v="235"/>
    <n v="5646"/>
    <x v="0"/>
    <n v="0"/>
  </r>
  <r>
    <x v="54"/>
    <x v="235"/>
    <x v="235"/>
    <n v="5648"/>
    <x v="0"/>
    <n v="0"/>
  </r>
  <r>
    <x v="54"/>
    <x v="235"/>
    <x v="235"/>
    <n v="5650"/>
    <x v="0"/>
    <n v="0"/>
  </r>
  <r>
    <x v="54"/>
    <x v="235"/>
    <x v="235"/>
    <n v="5652"/>
    <x v="0"/>
    <n v="0"/>
  </r>
  <r>
    <x v="54"/>
    <x v="235"/>
    <x v="235"/>
    <n v="5654"/>
    <x v="0"/>
    <n v="0"/>
  </r>
  <r>
    <x v="54"/>
    <x v="236"/>
    <x v="236"/>
    <n v="5670"/>
    <x v="0"/>
    <n v="0"/>
  </r>
  <r>
    <x v="54"/>
    <x v="236"/>
    <x v="236"/>
    <n v="5672"/>
    <x v="0"/>
    <n v="0"/>
  </r>
  <r>
    <x v="54"/>
    <x v="236"/>
    <x v="236"/>
    <n v="5674"/>
    <x v="0"/>
    <n v="0"/>
  </r>
  <r>
    <x v="54"/>
    <x v="236"/>
    <x v="236"/>
    <n v="5676"/>
    <x v="0"/>
    <n v="0"/>
  </r>
  <r>
    <x v="54"/>
    <x v="236"/>
    <x v="236"/>
    <n v="5678"/>
    <x v="0"/>
    <n v="0"/>
  </r>
  <r>
    <x v="55"/>
    <x v="237"/>
    <x v="237"/>
    <n v="5694"/>
    <x v="0"/>
    <n v="0"/>
  </r>
  <r>
    <x v="55"/>
    <x v="237"/>
    <x v="237"/>
    <n v="5696"/>
    <x v="0"/>
    <n v="0"/>
  </r>
  <r>
    <x v="55"/>
    <x v="237"/>
    <x v="237"/>
    <n v="5698"/>
    <x v="0"/>
    <n v="0"/>
  </r>
  <r>
    <x v="55"/>
    <x v="237"/>
    <x v="237"/>
    <n v="5700"/>
    <x v="0"/>
    <n v="0"/>
  </r>
  <r>
    <x v="55"/>
    <x v="237"/>
    <x v="237"/>
    <n v="5702"/>
    <x v="0"/>
    <n v="0"/>
  </r>
  <r>
    <x v="55"/>
    <x v="238"/>
    <x v="238"/>
    <n v="5718"/>
    <x v="0"/>
    <n v="0"/>
  </r>
  <r>
    <x v="55"/>
    <x v="238"/>
    <x v="238"/>
    <n v="5720"/>
    <x v="0"/>
    <n v="0"/>
  </r>
  <r>
    <x v="55"/>
    <x v="238"/>
    <x v="238"/>
    <n v="5722"/>
    <x v="0"/>
    <n v="0"/>
  </r>
  <r>
    <x v="55"/>
    <x v="238"/>
    <x v="238"/>
    <n v="5724"/>
    <x v="0"/>
    <n v="0"/>
  </r>
  <r>
    <x v="55"/>
    <x v="238"/>
    <x v="238"/>
    <n v="5726"/>
    <x v="0"/>
    <n v="0"/>
  </r>
  <r>
    <x v="55"/>
    <x v="239"/>
    <x v="239"/>
    <n v="5742"/>
    <x v="0"/>
    <n v="0"/>
  </r>
  <r>
    <x v="55"/>
    <x v="239"/>
    <x v="239"/>
    <n v="5744"/>
    <x v="0"/>
    <n v="0"/>
  </r>
  <r>
    <x v="55"/>
    <x v="239"/>
    <x v="239"/>
    <n v="5746"/>
    <x v="0"/>
    <n v="0"/>
  </r>
  <r>
    <x v="55"/>
    <x v="239"/>
    <x v="239"/>
    <n v="5748"/>
    <x v="0"/>
    <n v="0"/>
  </r>
  <r>
    <x v="55"/>
    <x v="239"/>
    <x v="239"/>
    <n v="5750"/>
    <x v="0"/>
    <n v="0"/>
  </r>
  <r>
    <x v="55"/>
    <x v="240"/>
    <x v="240"/>
    <n v="5766"/>
    <x v="0"/>
    <n v="0"/>
  </r>
  <r>
    <x v="55"/>
    <x v="240"/>
    <x v="240"/>
    <n v="5768"/>
    <x v="0"/>
    <n v="0"/>
  </r>
  <r>
    <x v="55"/>
    <x v="240"/>
    <x v="240"/>
    <n v="5770"/>
    <x v="0"/>
    <n v="0"/>
  </r>
  <r>
    <x v="55"/>
    <x v="240"/>
    <x v="240"/>
    <n v="5772"/>
    <x v="0"/>
    <n v="0"/>
  </r>
  <r>
    <x v="55"/>
    <x v="240"/>
    <x v="240"/>
    <n v="5774"/>
    <x v="0"/>
    <n v="0"/>
  </r>
  <r>
    <x v="56"/>
    <x v="241"/>
    <x v="241"/>
    <n v="5790"/>
    <x v="0"/>
    <n v="0"/>
  </r>
  <r>
    <x v="56"/>
    <x v="241"/>
    <x v="241"/>
    <n v="5792"/>
    <x v="0"/>
    <n v="0"/>
  </r>
  <r>
    <x v="56"/>
    <x v="241"/>
    <x v="241"/>
    <n v="5794"/>
    <x v="0"/>
    <n v="0"/>
  </r>
  <r>
    <x v="56"/>
    <x v="241"/>
    <x v="241"/>
    <n v="5796"/>
    <x v="0"/>
    <n v="0"/>
  </r>
  <r>
    <x v="56"/>
    <x v="241"/>
    <x v="241"/>
    <n v="5798"/>
    <x v="0"/>
    <n v="0"/>
  </r>
  <r>
    <x v="56"/>
    <x v="242"/>
    <x v="242"/>
    <n v="5814"/>
    <x v="0"/>
    <n v="0"/>
  </r>
  <r>
    <x v="56"/>
    <x v="242"/>
    <x v="242"/>
    <n v="5816"/>
    <x v="0"/>
    <n v="0"/>
  </r>
  <r>
    <x v="56"/>
    <x v="242"/>
    <x v="242"/>
    <n v="5818"/>
    <x v="0"/>
    <n v="0"/>
  </r>
  <r>
    <x v="56"/>
    <x v="242"/>
    <x v="242"/>
    <n v="5820"/>
    <x v="0"/>
    <n v="0"/>
  </r>
  <r>
    <x v="56"/>
    <x v="242"/>
    <x v="242"/>
    <n v="5822"/>
    <x v="0"/>
    <n v="0"/>
  </r>
  <r>
    <x v="56"/>
    <x v="243"/>
    <x v="243"/>
    <n v="5838"/>
    <x v="0"/>
    <n v="0"/>
  </r>
  <r>
    <x v="56"/>
    <x v="243"/>
    <x v="243"/>
    <n v="5840"/>
    <x v="0"/>
    <n v="0"/>
  </r>
  <r>
    <x v="56"/>
    <x v="243"/>
    <x v="243"/>
    <n v="5842"/>
    <x v="0"/>
    <n v="0"/>
  </r>
  <r>
    <x v="56"/>
    <x v="243"/>
    <x v="243"/>
    <n v="5844"/>
    <x v="0"/>
    <n v="0"/>
  </r>
  <r>
    <x v="56"/>
    <x v="243"/>
    <x v="243"/>
    <n v="5846"/>
    <x v="0"/>
    <n v="0"/>
  </r>
  <r>
    <x v="56"/>
    <x v="244"/>
    <x v="244"/>
    <n v="5862"/>
    <x v="0"/>
    <n v="0"/>
  </r>
  <r>
    <x v="56"/>
    <x v="244"/>
    <x v="244"/>
    <n v="5864"/>
    <x v="0"/>
    <n v="0"/>
  </r>
  <r>
    <x v="56"/>
    <x v="244"/>
    <x v="244"/>
    <n v="5866"/>
    <x v="0"/>
    <n v="0"/>
  </r>
  <r>
    <x v="56"/>
    <x v="244"/>
    <x v="244"/>
    <n v="5868"/>
    <x v="0"/>
    <n v="0"/>
  </r>
  <r>
    <x v="56"/>
    <x v="244"/>
    <x v="244"/>
    <n v="5870"/>
    <x v="0"/>
    <n v="0"/>
  </r>
  <r>
    <x v="57"/>
    <x v="245"/>
    <x v="245"/>
    <n v="5886"/>
    <x v="0"/>
    <n v="0"/>
  </r>
  <r>
    <x v="57"/>
    <x v="245"/>
    <x v="245"/>
    <n v="5888"/>
    <x v="0"/>
    <n v="0"/>
  </r>
  <r>
    <x v="57"/>
    <x v="245"/>
    <x v="245"/>
    <n v="5890"/>
    <x v="0"/>
    <n v="0"/>
  </r>
  <r>
    <x v="57"/>
    <x v="245"/>
    <x v="245"/>
    <n v="5892"/>
    <x v="0"/>
    <n v="0"/>
  </r>
  <r>
    <x v="57"/>
    <x v="245"/>
    <x v="245"/>
    <n v="5894"/>
    <x v="0"/>
    <n v="0"/>
  </r>
  <r>
    <x v="57"/>
    <x v="246"/>
    <x v="246"/>
    <n v="5910"/>
    <x v="0"/>
    <n v="0"/>
  </r>
  <r>
    <x v="57"/>
    <x v="246"/>
    <x v="246"/>
    <n v="5912"/>
    <x v="0"/>
    <n v="0"/>
  </r>
  <r>
    <x v="57"/>
    <x v="246"/>
    <x v="246"/>
    <n v="5914"/>
    <x v="0"/>
    <n v="0"/>
  </r>
  <r>
    <x v="57"/>
    <x v="246"/>
    <x v="246"/>
    <n v="5916"/>
    <x v="0"/>
    <n v="0"/>
  </r>
  <r>
    <x v="57"/>
    <x v="246"/>
    <x v="246"/>
    <n v="5918"/>
    <x v="0"/>
    <n v="0"/>
  </r>
  <r>
    <x v="57"/>
    <x v="247"/>
    <x v="247"/>
    <n v="5934"/>
    <x v="0"/>
    <n v="0"/>
  </r>
  <r>
    <x v="57"/>
    <x v="247"/>
    <x v="247"/>
    <n v="5936"/>
    <x v="0"/>
    <n v="0"/>
  </r>
  <r>
    <x v="57"/>
    <x v="247"/>
    <x v="247"/>
    <n v="5938"/>
    <x v="0"/>
    <n v="0"/>
  </r>
  <r>
    <x v="57"/>
    <x v="247"/>
    <x v="247"/>
    <n v="5940"/>
    <x v="0"/>
    <n v="0"/>
  </r>
  <r>
    <x v="57"/>
    <x v="247"/>
    <x v="247"/>
    <n v="5942"/>
    <x v="0"/>
    <n v="0"/>
  </r>
  <r>
    <x v="57"/>
    <x v="248"/>
    <x v="248"/>
    <n v="5958"/>
    <x v="0"/>
    <n v="0"/>
  </r>
  <r>
    <x v="57"/>
    <x v="248"/>
    <x v="248"/>
    <n v="5960"/>
    <x v="0"/>
    <n v="0"/>
  </r>
  <r>
    <x v="57"/>
    <x v="248"/>
    <x v="248"/>
    <n v="5962"/>
    <x v="0"/>
    <n v="0"/>
  </r>
  <r>
    <x v="57"/>
    <x v="248"/>
    <x v="248"/>
    <n v="5964"/>
    <x v="0"/>
    <n v="0"/>
  </r>
  <r>
    <x v="57"/>
    <x v="248"/>
    <x v="248"/>
    <n v="5966"/>
    <x v="0"/>
    <n v="0"/>
  </r>
  <r>
    <x v="57"/>
    <x v="249"/>
    <x v="249"/>
    <n v="5982"/>
    <x v="0"/>
    <n v="0"/>
  </r>
  <r>
    <x v="57"/>
    <x v="249"/>
    <x v="249"/>
    <n v="5984"/>
    <x v="0"/>
    <n v="0"/>
  </r>
  <r>
    <x v="57"/>
    <x v="249"/>
    <x v="249"/>
    <n v="5986"/>
    <x v="0"/>
    <n v="0"/>
  </r>
  <r>
    <x v="57"/>
    <x v="249"/>
    <x v="249"/>
    <n v="5988"/>
    <x v="0"/>
    <n v="0"/>
  </r>
  <r>
    <x v="57"/>
    <x v="249"/>
    <x v="249"/>
    <n v="5990"/>
    <x v="0"/>
    <n v="0"/>
  </r>
  <r>
    <x v="58"/>
    <x v="250"/>
    <x v="250"/>
    <n v="6006"/>
    <x v="0"/>
    <n v="0"/>
  </r>
  <r>
    <x v="58"/>
    <x v="250"/>
    <x v="250"/>
    <n v="6008"/>
    <x v="0"/>
    <n v="0"/>
  </r>
  <r>
    <x v="58"/>
    <x v="250"/>
    <x v="250"/>
    <n v="6010"/>
    <x v="0"/>
    <n v="0"/>
  </r>
  <r>
    <x v="58"/>
    <x v="250"/>
    <x v="250"/>
    <n v="6012"/>
    <x v="0"/>
    <n v="0"/>
  </r>
  <r>
    <x v="58"/>
    <x v="250"/>
    <x v="250"/>
    <n v="6014"/>
    <x v="0"/>
    <n v="0"/>
  </r>
  <r>
    <x v="58"/>
    <x v="251"/>
    <x v="251"/>
    <n v="6030"/>
    <x v="0"/>
    <n v="0"/>
  </r>
  <r>
    <x v="58"/>
    <x v="251"/>
    <x v="251"/>
    <n v="6032"/>
    <x v="0"/>
    <n v="0"/>
  </r>
  <r>
    <x v="58"/>
    <x v="251"/>
    <x v="251"/>
    <n v="6034"/>
    <x v="0"/>
    <n v="0"/>
  </r>
  <r>
    <x v="58"/>
    <x v="251"/>
    <x v="251"/>
    <n v="6036"/>
    <x v="0"/>
    <n v="0"/>
  </r>
  <r>
    <x v="58"/>
    <x v="251"/>
    <x v="251"/>
    <n v="6038"/>
    <x v="0"/>
    <n v="0"/>
  </r>
  <r>
    <x v="58"/>
    <x v="252"/>
    <x v="252"/>
    <n v="6054"/>
    <x v="0"/>
    <n v="0"/>
  </r>
  <r>
    <x v="58"/>
    <x v="252"/>
    <x v="252"/>
    <n v="6056"/>
    <x v="0"/>
    <n v="0"/>
  </r>
  <r>
    <x v="58"/>
    <x v="252"/>
    <x v="252"/>
    <n v="6058"/>
    <x v="0"/>
    <n v="0"/>
  </r>
  <r>
    <x v="58"/>
    <x v="252"/>
    <x v="252"/>
    <n v="6060"/>
    <x v="0"/>
    <n v="0"/>
  </r>
  <r>
    <x v="58"/>
    <x v="252"/>
    <x v="252"/>
    <n v="6062"/>
    <x v="0"/>
    <n v="0"/>
  </r>
  <r>
    <x v="58"/>
    <x v="253"/>
    <x v="253"/>
    <n v="6078"/>
    <x v="0"/>
    <n v="0"/>
  </r>
  <r>
    <x v="58"/>
    <x v="253"/>
    <x v="253"/>
    <n v="6080"/>
    <x v="0"/>
    <n v="0"/>
  </r>
  <r>
    <x v="58"/>
    <x v="253"/>
    <x v="253"/>
    <n v="6082"/>
    <x v="0"/>
    <n v="0"/>
  </r>
  <r>
    <x v="58"/>
    <x v="253"/>
    <x v="253"/>
    <n v="6084"/>
    <x v="0"/>
    <n v="0"/>
  </r>
  <r>
    <x v="58"/>
    <x v="253"/>
    <x v="253"/>
    <n v="6086"/>
    <x v="0"/>
    <n v="0"/>
  </r>
  <r>
    <x v="59"/>
    <x v="254"/>
    <x v="254"/>
    <n v="6102"/>
    <x v="0"/>
    <n v="0"/>
  </r>
  <r>
    <x v="59"/>
    <x v="254"/>
    <x v="254"/>
    <n v="6104"/>
    <x v="0"/>
    <n v="0"/>
  </r>
  <r>
    <x v="59"/>
    <x v="254"/>
    <x v="254"/>
    <n v="6106"/>
    <x v="0"/>
    <n v="0"/>
  </r>
  <r>
    <x v="59"/>
    <x v="254"/>
    <x v="254"/>
    <n v="6108"/>
    <x v="0"/>
    <n v="0"/>
  </r>
  <r>
    <x v="59"/>
    <x v="254"/>
    <x v="254"/>
    <n v="6110"/>
    <x v="0"/>
    <n v="0"/>
  </r>
  <r>
    <x v="59"/>
    <x v="255"/>
    <x v="255"/>
    <n v="6126"/>
    <x v="0"/>
    <n v="0"/>
  </r>
  <r>
    <x v="59"/>
    <x v="255"/>
    <x v="255"/>
    <n v="6128"/>
    <x v="0"/>
    <n v="0"/>
  </r>
  <r>
    <x v="59"/>
    <x v="255"/>
    <x v="255"/>
    <n v="6130"/>
    <x v="0"/>
    <n v="0"/>
  </r>
  <r>
    <x v="59"/>
    <x v="255"/>
    <x v="255"/>
    <n v="6132"/>
    <x v="0"/>
    <n v="0"/>
  </r>
  <r>
    <x v="59"/>
    <x v="255"/>
    <x v="255"/>
    <n v="6134"/>
    <x v="0"/>
    <n v="0"/>
  </r>
  <r>
    <x v="59"/>
    <x v="256"/>
    <x v="256"/>
    <n v="6150"/>
    <x v="0"/>
    <n v="0"/>
  </r>
  <r>
    <x v="59"/>
    <x v="256"/>
    <x v="256"/>
    <n v="6152"/>
    <x v="0"/>
    <n v="0"/>
  </r>
  <r>
    <x v="59"/>
    <x v="256"/>
    <x v="256"/>
    <n v="6154"/>
    <x v="0"/>
    <n v="0"/>
  </r>
  <r>
    <x v="59"/>
    <x v="256"/>
    <x v="256"/>
    <n v="6156"/>
    <x v="0"/>
    <n v="0"/>
  </r>
  <r>
    <x v="59"/>
    <x v="256"/>
    <x v="256"/>
    <n v="6158"/>
    <x v="0"/>
    <n v="0"/>
  </r>
  <r>
    <x v="59"/>
    <x v="257"/>
    <x v="257"/>
    <n v="6174"/>
    <x v="0"/>
    <n v="0"/>
  </r>
  <r>
    <x v="59"/>
    <x v="257"/>
    <x v="257"/>
    <n v="6176"/>
    <x v="0"/>
    <n v="0"/>
  </r>
  <r>
    <x v="59"/>
    <x v="257"/>
    <x v="257"/>
    <n v="6178"/>
    <x v="0"/>
    <n v="0"/>
  </r>
  <r>
    <x v="59"/>
    <x v="257"/>
    <x v="257"/>
    <n v="6180"/>
    <x v="0"/>
    <n v="0"/>
  </r>
  <r>
    <x v="59"/>
    <x v="257"/>
    <x v="257"/>
    <n v="6182"/>
    <x v="0"/>
    <n v="0"/>
  </r>
  <r>
    <x v="60"/>
    <x v="258"/>
    <x v="258"/>
    <n v="6198"/>
    <x v="0"/>
    <n v="0"/>
  </r>
  <r>
    <x v="60"/>
    <x v="258"/>
    <x v="258"/>
    <n v="6200"/>
    <x v="0"/>
    <n v="0"/>
  </r>
  <r>
    <x v="60"/>
    <x v="258"/>
    <x v="258"/>
    <n v="6202"/>
    <x v="0"/>
    <n v="0"/>
  </r>
  <r>
    <x v="60"/>
    <x v="258"/>
    <x v="258"/>
    <n v="6204"/>
    <x v="0"/>
    <n v="0"/>
  </r>
  <r>
    <x v="60"/>
    <x v="258"/>
    <x v="258"/>
    <n v="6206"/>
    <x v="0"/>
    <n v="0"/>
  </r>
  <r>
    <x v="60"/>
    <x v="259"/>
    <x v="259"/>
    <n v="6222"/>
    <x v="0"/>
    <n v="0"/>
  </r>
  <r>
    <x v="60"/>
    <x v="259"/>
    <x v="259"/>
    <n v="6224"/>
    <x v="0"/>
    <n v="0"/>
  </r>
  <r>
    <x v="60"/>
    <x v="259"/>
    <x v="259"/>
    <n v="6226"/>
    <x v="0"/>
    <n v="0"/>
  </r>
  <r>
    <x v="60"/>
    <x v="259"/>
    <x v="259"/>
    <n v="6228"/>
    <x v="0"/>
    <n v="0"/>
  </r>
  <r>
    <x v="60"/>
    <x v="259"/>
    <x v="259"/>
    <n v="6230"/>
    <x v="0"/>
    <n v="0"/>
  </r>
  <r>
    <x v="60"/>
    <x v="260"/>
    <x v="260"/>
    <n v="6246"/>
    <x v="0"/>
    <n v="0"/>
  </r>
  <r>
    <x v="60"/>
    <x v="260"/>
    <x v="260"/>
    <n v="6248"/>
    <x v="0"/>
    <n v="0"/>
  </r>
  <r>
    <x v="60"/>
    <x v="260"/>
    <x v="260"/>
    <n v="6250"/>
    <x v="0"/>
    <n v="0"/>
  </r>
  <r>
    <x v="60"/>
    <x v="260"/>
    <x v="260"/>
    <n v="6252"/>
    <x v="0"/>
    <n v="0"/>
  </r>
  <r>
    <x v="60"/>
    <x v="260"/>
    <x v="260"/>
    <n v="6254"/>
    <x v="0"/>
    <n v="0"/>
  </r>
  <r>
    <x v="60"/>
    <x v="261"/>
    <x v="261"/>
    <n v="6270"/>
    <x v="0"/>
    <n v="0"/>
  </r>
  <r>
    <x v="60"/>
    <x v="261"/>
    <x v="261"/>
    <n v="6272"/>
    <x v="0"/>
    <n v="0"/>
  </r>
  <r>
    <x v="60"/>
    <x v="261"/>
    <x v="261"/>
    <n v="6274"/>
    <x v="0"/>
    <n v="0"/>
  </r>
  <r>
    <x v="60"/>
    <x v="261"/>
    <x v="261"/>
    <n v="6276"/>
    <x v="0"/>
    <n v="0"/>
  </r>
  <r>
    <x v="60"/>
    <x v="261"/>
    <x v="261"/>
    <n v="6278"/>
    <x v="0"/>
    <n v="0"/>
  </r>
  <r>
    <x v="60"/>
    <x v="262"/>
    <x v="262"/>
    <n v="6294"/>
    <x v="0"/>
    <n v="0"/>
  </r>
  <r>
    <x v="60"/>
    <x v="262"/>
    <x v="262"/>
    <n v="6296"/>
    <x v="0"/>
    <n v="0"/>
  </r>
  <r>
    <x v="60"/>
    <x v="262"/>
    <x v="262"/>
    <n v="6298"/>
    <x v="0"/>
    <n v="0"/>
  </r>
  <r>
    <x v="60"/>
    <x v="262"/>
    <x v="262"/>
    <n v="6300"/>
    <x v="0"/>
    <n v="0"/>
  </r>
  <r>
    <x v="60"/>
    <x v="262"/>
    <x v="262"/>
    <n v="6302"/>
    <x v="0"/>
    <n v="0"/>
  </r>
  <r>
    <x v="61"/>
    <x v="263"/>
    <x v="263"/>
    <n v="6318"/>
    <x v="0"/>
    <n v="0"/>
  </r>
  <r>
    <x v="61"/>
    <x v="263"/>
    <x v="263"/>
    <n v="6320"/>
    <x v="0"/>
    <n v="0"/>
  </r>
  <r>
    <x v="61"/>
    <x v="263"/>
    <x v="263"/>
    <n v="6322"/>
    <x v="0"/>
    <n v="0"/>
  </r>
  <r>
    <x v="61"/>
    <x v="263"/>
    <x v="263"/>
    <n v="6324"/>
    <x v="0"/>
    <n v="0"/>
  </r>
  <r>
    <x v="61"/>
    <x v="263"/>
    <x v="263"/>
    <n v="6326"/>
    <x v="0"/>
    <n v="0"/>
  </r>
  <r>
    <x v="61"/>
    <x v="264"/>
    <x v="264"/>
    <n v="6342"/>
    <x v="0"/>
    <n v="0"/>
  </r>
  <r>
    <x v="61"/>
    <x v="264"/>
    <x v="264"/>
    <n v="6344"/>
    <x v="0"/>
    <n v="0"/>
  </r>
  <r>
    <x v="61"/>
    <x v="264"/>
    <x v="264"/>
    <n v="6346"/>
    <x v="0"/>
    <n v="0"/>
  </r>
  <r>
    <x v="61"/>
    <x v="264"/>
    <x v="264"/>
    <n v="6348"/>
    <x v="0"/>
    <n v="0"/>
  </r>
  <r>
    <x v="61"/>
    <x v="264"/>
    <x v="264"/>
    <n v="6350"/>
    <x v="0"/>
    <n v="0"/>
  </r>
  <r>
    <x v="61"/>
    <x v="265"/>
    <x v="265"/>
    <n v="6366"/>
    <x v="0"/>
    <n v="0"/>
  </r>
  <r>
    <x v="61"/>
    <x v="265"/>
    <x v="265"/>
    <n v="6368"/>
    <x v="0"/>
    <n v="0"/>
  </r>
  <r>
    <x v="61"/>
    <x v="265"/>
    <x v="265"/>
    <n v="6370"/>
    <x v="0"/>
    <n v="0"/>
  </r>
  <r>
    <x v="61"/>
    <x v="265"/>
    <x v="265"/>
    <n v="6372"/>
    <x v="0"/>
    <n v="0"/>
  </r>
  <r>
    <x v="61"/>
    <x v="265"/>
    <x v="265"/>
    <n v="6374"/>
    <x v="0"/>
    <n v="0"/>
  </r>
  <r>
    <x v="61"/>
    <x v="266"/>
    <x v="266"/>
    <n v="6390"/>
    <x v="0"/>
    <n v="0"/>
  </r>
  <r>
    <x v="61"/>
    <x v="266"/>
    <x v="266"/>
    <n v="6392"/>
    <x v="0"/>
    <n v="0"/>
  </r>
  <r>
    <x v="61"/>
    <x v="266"/>
    <x v="266"/>
    <n v="6394"/>
    <x v="0"/>
    <n v="0"/>
  </r>
  <r>
    <x v="61"/>
    <x v="266"/>
    <x v="266"/>
    <n v="6396"/>
    <x v="0"/>
    <n v="0"/>
  </r>
  <r>
    <x v="61"/>
    <x v="266"/>
    <x v="266"/>
    <n v="6398"/>
    <x v="0"/>
    <n v="0"/>
  </r>
  <r>
    <x v="62"/>
    <x v="267"/>
    <x v="267"/>
    <n v="6414"/>
    <x v="0"/>
    <n v="0"/>
  </r>
  <r>
    <x v="62"/>
    <x v="267"/>
    <x v="267"/>
    <n v="6416"/>
    <x v="0"/>
    <n v="0"/>
  </r>
  <r>
    <x v="62"/>
    <x v="267"/>
    <x v="267"/>
    <n v="6418"/>
    <x v="0"/>
    <n v="0"/>
  </r>
  <r>
    <x v="62"/>
    <x v="267"/>
    <x v="267"/>
    <n v="6420"/>
    <x v="0"/>
    <n v="0"/>
  </r>
  <r>
    <x v="62"/>
    <x v="267"/>
    <x v="267"/>
    <n v="6422"/>
    <x v="0"/>
    <n v="0"/>
  </r>
  <r>
    <x v="62"/>
    <x v="268"/>
    <x v="268"/>
    <n v="6438"/>
    <x v="0"/>
    <n v="0"/>
  </r>
  <r>
    <x v="62"/>
    <x v="268"/>
    <x v="268"/>
    <n v="6440"/>
    <x v="0"/>
    <n v="0"/>
  </r>
  <r>
    <x v="62"/>
    <x v="268"/>
    <x v="268"/>
    <n v="6442"/>
    <x v="0"/>
    <n v="0"/>
  </r>
  <r>
    <x v="62"/>
    <x v="268"/>
    <x v="268"/>
    <n v="6444"/>
    <x v="0"/>
    <n v="0"/>
  </r>
  <r>
    <x v="62"/>
    <x v="268"/>
    <x v="268"/>
    <n v="6446"/>
    <x v="0"/>
    <n v="0"/>
  </r>
  <r>
    <x v="62"/>
    <x v="269"/>
    <x v="269"/>
    <n v="6462"/>
    <x v="0"/>
    <n v="0"/>
  </r>
  <r>
    <x v="62"/>
    <x v="269"/>
    <x v="269"/>
    <n v="6464"/>
    <x v="0"/>
    <n v="0"/>
  </r>
  <r>
    <x v="62"/>
    <x v="269"/>
    <x v="269"/>
    <n v="6466"/>
    <x v="0"/>
    <n v="0"/>
  </r>
  <r>
    <x v="62"/>
    <x v="269"/>
    <x v="269"/>
    <n v="6468"/>
    <x v="0"/>
    <n v="0"/>
  </r>
  <r>
    <x v="62"/>
    <x v="269"/>
    <x v="269"/>
    <n v="6470"/>
    <x v="0"/>
    <n v="0"/>
  </r>
  <r>
    <x v="62"/>
    <x v="270"/>
    <x v="270"/>
    <n v="6486"/>
    <x v="0"/>
    <n v="0"/>
  </r>
  <r>
    <x v="62"/>
    <x v="270"/>
    <x v="270"/>
    <n v="6488"/>
    <x v="0"/>
    <n v="0"/>
  </r>
  <r>
    <x v="62"/>
    <x v="270"/>
    <x v="270"/>
    <n v="6490"/>
    <x v="0"/>
    <n v="0"/>
  </r>
  <r>
    <x v="62"/>
    <x v="270"/>
    <x v="270"/>
    <n v="6492"/>
    <x v="0"/>
    <n v="0"/>
  </r>
  <r>
    <x v="62"/>
    <x v="270"/>
    <x v="270"/>
    <n v="6494"/>
    <x v="0"/>
    <n v="0"/>
  </r>
  <r>
    <x v="62"/>
    <x v="271"/>
    <x v="271"/>
    <n v="6510"/>
    <x v="0"/>
    <n v="0"/>
  </r>
  <r>
    <x v="62"/>
    <x v="271"/>
    <x v="271"/>
    <n v="6512"/>
    <x v="0"/>
    <n v="0"/>
  </r>
  <r>
    <x v="62"/>
    <x v="271"/>
    <x v="271"/>
    <n v="6514"/>
    <x v="0"/>
    <n v="0"/>
  </r>
  <r>
    <x v="62"/>
    <x v="271"/>
    <x v="271"/>
    <n v="6516"/>
    <x v="0"/>
    <n v="0"/>
  </r>
  <r>
    <x v="62"/>
    <x v="271"/>
    <x v="271"/>
    <n v="6518"/>
    <x v="0"/>
    <n v="0"/>
  </r>
  <r>
    <x v="63"/>
    <x v="272"/>
    <x v="272"/>
    <n v="6534"/>
    <x v="0"/>
    <n v="0"/>
  </r>
  <r>
    <x v="63"/>
    <x v="272"/>
    <x v="272"/>
    <n v="6536"/>
    <x v="0"/>
    <n v="0"/>
  </r>
  <r>
    <x v="63"/>
    <x v="272"/>
    <x v="272"/>
    <n v="6538"/>
    <x v="0"/>
    <n v="0"/>
  </r>
  <r>
    <x v="63"/>
    <x v="272"/>
    <x v="272"/>
    <n v="6540"/>
    <x v="0"/>
    <n v="0"/>
  </r>
  <r>
    <x v="63"/>
    <x v="272"/>
    <x v="272"/>
    <n v="6542"/>
    <x v="0"/>
    <n v="0"/>
  </r>
  <r>
    <x v="63"/>
    <x v="273"/>
    <x v="273"/>
    <n v="6558"/>
    <x v="0"/>
    <n v="0"/>
  </r>
  <r>
    <x v="63"/>
    <x v="273"/>
    <x v="273"/>
    <n v="6560"/>
    <x v="0"/>
    <n v="0"/>
  </r>
  <r>
    <x v="63"/>
    <x v="273"/>
    <x v="273"/>
    <n v="6562"/>
    <x v="0"/>
    <n v="0"/>
  </r>
  <r>
    <x v="63"/>
    <x v="273"/>
    <x v="273"/>
    <n v="6564"/>
    <x v="0"/>
    <n v="0"/>
  </r>
  <r>
    <x v="63"/>
    <x v="273"/>
    <x v="273"/>
    <n v="6566"/>
    <x v="0"/>
    <n v="0"/>
  </r>
  <r>
    <x v="63"/>
    <x v="274"/>
    <x v="274"/>
    <n v="6582"/>
    <x v="0"/>
    <n v="0"/>
  </r>
  <r>
    <x v="63"/>
    <x v="274"/>
    <x v="274"/>
    <n v="6584"/>
    <x v="0"/>
    <n v="0"/>
  </r>
  <r>
    <x v="63"/>
    <x v="274"/>
    <x v="274"/>
    <n v="6586"/>
    <x v="0"/>
    <n v="0"/>
  </r>
  <r>
    <x v="63"/>
    <x v="274"/>
    <x v="274"/>
    <n v="6588"/>
    <x v="0"/>
    <n v="0"/>
  </r>
  <r>
    <x v="63"/>
    <x v="274"/>
    <x v="274"/>
    <n v="6590"/>
    <x v="0"/>
    <n v="0"/>
  </r>
  <r>
    <x v="63"/>
    <x v="275"/>
    <x v="275"/>
    <n v="6606"/>
    <x v="0"/>
    <n v="0"/>
  </r>
  <r>
    <x v="63"/>
    <x v="275"/>
    <x v="275"/>
    <n v="6608"/>
    <x v="0"/>
    <n v="0"/>
  </r>
  <r>
    <x v="63"/>
    <x v="275"/>
    <x v="275"/>
    <n v="6610"/>
    <x v="0"/>
    <n v="0"/>
  </r>
  <r>
    <x v="63"/>
    <x v="275"/>
    <x v="275"/>
    <n v="6612"/>
    <x v="0"/>
    <n v="0"/>
  </r>
  <r>
    <x v="63"/>
    <x v="275"/>
    <x v="275"/>
    <n v="6614"/>
    <x v="0"/>
    <n v="0"/>
  </r>
  <r>
    <x v="64"/>
    <x v="276"/>
    <x v="276"/>
    <n v="6630"/>
    <x v="0"/>
    <n v="0"/>
  </r>
  <r>
    <x v="64"/>
    <x v="276"/>
    <x v="276"/>
    <n v="6632"/>
    <x v="0"/>
    <n v="0"/>
  </r>
  <r>
    <x v="64"/>
    <x v="276"/>
    <x v="276"/>
    <n v="6634"/>
    <x v="0"/>
    <n v="0"/>
  </r>
  <r>
    <x v="64"/>
    <x v="276"/>
    <x v="276"/>
    <n v="6636"/>
    <x v="0"/>
    <n v="0"/>
  </r>
  <r>
    <x v="64"/>
    <x v="276"/>
    <x v="276"/>
    <n v="6638"/>
    <x v="0"/>
    <n v="0"/>
  </r>
  <r>
    <x v="64"/>
    <x v="277"/>
    <x v="277"/>
    <n v="6654"/>
    <x v="0"/>
    <n v="0"/>
  </r>
  <r>
    <x v="64"/>
    <x v="277"/>
    <x v="277"/>
    <n v="6656"/>
    <x v="0"/>
    <n v="0"/>
  </r>
  <r>
    <x v="64"/>
    <x v="277"/>
    <x v="277"/>
    <n v="6658"/>
    <x v="0"/>
    <n v="0"/>
  </r>
  <r>
    <x v="64"/>
    <x v="277"/>
    <x v="277"/>
    <n v="6660"/>
    <x v="0"/>
    <n v="0"/>
  </r>
  <r>
    <x v="64"/>
    <x v="277"/>
    <x v="277"/>
    <n v="6662"/>
    <x v="0"/>
    <n v="0"/>
  </r>
  <r>
    <x v="64"/>
    <x v="278"/>
    <x v="278"/>
    <n v="6678"/>
    <x v="0"/>
    <n v="0"/>
  </r>
  <r>
    <x v="64"/>
    <x v="278"/>
    <x v="278"/>
    <n v="6680"/>
    <x v="0"/>
    <n v="0"/>
  </r>
  <r>
    <x v="64"/>
    <x v="278"/>
    <x v="278"/>
    <n v="6682"/>
    <x v="0"/>
    <n v="0"/>
  </r>
  <r>
    <x v="64"/>
    <x v="278"/>
    <x v="278"/>
    <n v="6684"/>
    <x v="0"/>
    <n v="0"/>
  </r>
  <r>
    <x v="64"/>
    <x v="278"/>
    <x v="278"/>
    <n v="6686"/>
    <x v="0"/>
    <n v="0"/>
  </r>
  <r>
    <x v="64"/>
    <x v="279"/>
    <x v="279"/>
    <n v="6702"/>
    <x v="0"/>
    <n v="0"/>
  </r>
  <r>
    <x v="64"/>
    <x v="279"/>
    <x v="279"/>
    <n v="6704"/>
    <x v="0"/>
    <n v="0"/>
  </r>
  <r>
    <x v="64"/>
    <x v="279"/>
    <x v="279"/>
    <n v="6706"/>
    <x v="0"/>
    <n v="0"/>
  </r>
  <r>
    <x v="64"/>
    <x v="279"/>
    <x v="279"/>
    <n v="6708"/>
    <x v="0"/>
    <n v="0"/>
  </r>
  <r>
    <x v="64"/>
    <x v="279"/>
    <x v="279"/>
    <n v="6710"/>
    <x v="0"/>
    <n v="0"/>
  </r>
  <r>
    <x v="65"/>
    <x v="280"/>
    <x v="280"/>
    <n v="6726"/>
    <x v="0"/>
    <n v="0"/>
  </r>
  <r>
    <x v="65"/>
    <x v="280"/>
    <x v="280"/>
    <n v="6728"/>
    <x v="0"/>
    <n v="0"/>
  </r>
  <r>
    <x v="65"/>
    <x v="280"/>
    <x v="280"/>
    <n v="6730"/>
    <x v="0"/>
    <n v="0"/>
  </r>
  <r>
    <x v="65"/>
    <x v="280"/>
    <x v="280"/>
    <n v="6732"/>
    <x v="0"/>
    <n v="0"/>
  </r>
  <r>
    <x v="65"/>
    <x v="280"/>
    <x v="280"/>
    <n v="6734"/>
    <x v="0"/>
    <n v="0"/>
  </r>
  <r>
    <x v="65"/>
    <x v="281"/>
    <x v="281"/>
    <n v="6750"/>
    <x v="0"/>
    <n v="0"/>
  </r>
  <r>
    <x v="65"/>
    <x v="281"/>
    <x v="281"/>
    <n v="6752"/>
    <x v="0"/>
    <n v="0"/>
  </r>
  <r>
    <x v="65"/>
    <x v="281"/>
    <x v="281"/>
    <n v="6754"/>
    <x v="0"/>
    <n v="0"/>
  </r>
  <r>
    <x v="65"/>
    <x v="281"/>
    <x v="281"/>
    <n v="6756"/>
    <x v="0"/>
    <n v="0"/>
  </r>
  <r>
    <x v="65"/>
    <x v="281"/>
    <x v="281"/>
    <n v="6758"/>
    <x v="0"/>
    <n v="0"/>
  </r>
  <r>
    <x v="65"/>
    <x v="282"/>
    <x v="282"/>
    <n v="6774"/>
    <x v="0"/>
    <n v="0"/>
  </r>
  <r>
    <x v="65"/>
    <x v="282"/>
    <x v="282"/>
    <n v="6776"/>
    <x v="0"/>
    <n v="0"/>
  </r>
  <r>
    <x v="65"/>
    <x v="282"/>
    <x v="282"/>
    <n v="6778"/>
    <x v="0"/>
    <n v="0"/>
  </r>
  <r>
    <x v="65"/>
    <x v="282"/>
    <x v="282"/>
    <n v="6780"/>
    <x v="0"/>
    <n v="0"/>
  </r>
  <r>
    <x v="65"/>
    <x v="282"/>
    <x v="282"/>
    <n v="6782"/>
    <x v="0"/>
    <n v="0"/>
  </r>
  <r>
    <x v="65"/>
    <x v="283"/>
    <x v="283"/>
    <n v="6798"/>
    <x v="0"/>
    <n v="0"/>
  </r>
  <r>
    <x v="65"/>
    <x v="283"/>
    <x v="283"/>
    <n v="6800"/>
    <x v="0"/>
    <n v="0"/>
  </r>
  <r>
    <x v="65"/>
    <x v="283"/>
    <x v="283"/>
    <n v="6802"/>
    <x v="0"/>
    <n v="0"/>
  </r>
  <r>
    <x v="65"/>
    <x v="283"/>
    <x v="283"/>
    <n v="6804"/>
    <x v="0"/>
    <n v="0"/>
  </r>
  <r>
    <x v="65"/>
    <x v="283"/>
    <x v="283"/>
    <n v="6806"/>
    <x v="0"/>
    <n v="0"/>
  </r>
  <r>
    <x v="66"/>
    <x v="284"/>
    <x v="284"/>
    <n v="6822"/>
    <x v="0"/>
    <n v="0"/>
  </r>
  <r>
    <x v="66"/>
    <x v="284"/>
    <x v="284"/>
    <n v="6824"/>
    <x v="0"/>
    <n v="0"/>
  </r>
  <r>
    <x v="66"/>
    <x v="284"/>
    <x v="284"/>
    <n v="6826"/>
    <x v="0"/>
    <n v="0"/>
  </r>
  <r>
    <x v="66"/>
    <x v="284"/>
    <x v="284"/>
    <n v="6828"/>
    <x v="0"/>
    <n v="0"/>
  </r>
  <r>
    <x v="66"/>
    <x v="284"/>
    <x v="284"/>
    <n v="6830"/>
    <x v="0"/>
    <n v="0"/>
  </r>
  <r>
    <x v="66"/>
    <x v="285"/>
    <x v="285"/>
    <n v="6846"/>
    <x v="0"/>
    <n v="0"/>
  </r>
  <r>
    <x v="66"/>
    <x v="285"/>
    <x v="285"/>
    <n v="6848"/>
    <x v="0"/>
    <n v="0"/>
  </r>
  <r>
    <x v="66"/>
    <x v="285"/>
    <x v="285"/>
    <n v="6850"/>
    <x v="0"/>
    <n v="0"/>
  </r>
  <r>
    <x v="66"/>
    <x v="285"/>
    <x v="285"/>
    <n v="6852"/>
    <x v="0"/>
    <n v="0"/>
  </r>
  <r>
    <x v="66"/>
    <x v="285"/>
    <x v="285"/>
    <n v="6854"/>
    <x v="0"/>
    <n v="0"/>
  </r>
  <r>
    <x v="66"/>
    <x v="286"/>
    <x v="286"/>
    <n v="6870"/>
    <x v="0"/>
    <n v="0"/>
  </r>
  <r>
    <x v="66"/>
    <x v="286"/>
    <x v="286"/>
    <n v="6872"/>
    <x v="0"/>
    <n v="0"/>
  </r>
  <r>
    <x v="66"/>
    <x v="286"/>
    <x v="286"/>
    <n v="6874"/>
    <x v="0"/>
    <n v="0"/>
  </r>
  <r>
    <x v="66"/>
    <x v="286"/>
    <x v="286"/>
    <n v="6876"/>
    <x v="0"/>
    <n v="0"/>
  </r>
  <r>
    <x v="66"/>
    <x v="286"/>
    <x v="286"/>
    <n v="6878"/>
    <x v="0"/>
    <n v="0"/>
  </r>
  <r>
    <x v="66"/>
    <x v="287"/>
    <x v="287"/>
    <n v="6894"/>
    <x v="0"/>
    <n v="0"/>
  </r>
  <r>
    <x v="66"/>
    <x v="287"/>
    <x v="287"/>
    <n v="6896"/>
    <x v="0"/>
    <n v="0"/>
  </r>
  <r>
    <x v="66"/>
    <x v="287"/>
    <x v="287"/>
    <n v="6898"/>
    <x v="0"/>
    <n v="0"/>
  </r>
  <r>
    <x v="66"/>
    <x v="287"/>
    <x v="287"/>
    <n v="6900"/>
    <x v="0"/>
    <n v="0"/>
  </r>
  <r>
    <x v="66"/>
    <x v="287"/>
    <x v="287"/>
    <n v="6902"/>
    <x v="0"/>
    <n v="0"/>
  </r>
  <r>
    <x v="66"/>
    <x v="288"/>
    <x v="288"/>
    <n v="6918"/>
    <x v="0"/>
    <n v="0"/>
  </r>
  <r>
    <x v="66"/>
    <x v="288"/>
    <x v="288"/>
    <n v="6920"/>
    <x v="0"/>
    <n v="0"/>
  </r>
  <r>
    <x v="66"/>
    <x v="288"/>
    <x v="288"/>
    <n v="6922"/>
    <x v="0"/>
    <n v="0"/>
  </r>
  <r>
    <x v="66"/>
    <x v="288"/>
    <x v="288"/>
    <n v="6924"/>
    <x v="0"/>
    <n v="0"/>
  </r>
  <r>
    <x v="66"/>
    <x v="288"/>
    <x v="288"/>
    <n v="6926"/>
    <x v="0"/>
    <n v="0"/>
  </r>
  <r>
    <x v="67"/>
    <x v="289"/>
    <x v="289"/>
    <n v="6942"/>
    <x v="0"/>
    <n v="0"/>
  </r>
  <r>
    <x v="67"/>
    <x v="289"/>
    <x v="289"/>
    <n v="6944"/>
    <x v="0"/>
    <n v="0"/>
  </r>
  <r>
    <x v="67"/>
    <x v="289"/>
    <x v="289"/>
    <n v="6946"/>
    <x v="0"/>
    <n v="0"/>
  </r>
  <r>
    <x v="67"/>
    <x v="289"/>
    <x v="289"/>
    <n v="6948"/>
    <x v="0"/>
    <n v="0"/>
  </r>
  <r>
    <x v="67"/>
    <x v="289"/>
    <x v="289"/>
    <n v="6950"/>
    <x v="0"/>
    <n v="0"/>
  </r>
  <r>
    <x v="67"/>
    <x v="290"/>
    <x v="290"/>
    <n v="6966"/>
    <x v="0"/>
    <n v="0"/>
  </r>
  <r>
    <x v="67"/>
    <x v="290"/>
    <x v="290"/>
    <n v="6968"/>
    <x v="0"/>
    <n v="0"/>
  </r>
  <r>
    <x v="67"/>
    <x v="290"/>
    <x v="290"/>
    <n v="6970"/>
    <x v="0"/>
    <n v="0"/>
  </r>
  <r>
    <x v="67"/>
    <x v="290"/>
    <x v="290"/>
    <n v="6972"/>
    <x v="0"/>
    <n v="0"/>
  </r>
  <r>
    <x v="67"/>
    <x v="290"/>
    <x v="290"/>
    <n v="6974"/>
    <x v="0"/>
    <n v="0"/>
  </r>
  <r>
    <x v="67"/>
    <x v="291"/>
    <x v="291"/>
    <n v="6990"/>
    <x v="0"/>
    <n v="0"/>
  </r>
  <r>
    <x v="67"/>
    <x v="291"/>
    <x v="291"/>
    <n v="6992"/>
    <x v="0"/>
    <n v="0"/>
  </r>
  <r>
    <x v="67"/>
    <x v="291"/>
    <x v="291"/>
    <n v="6994"/>
    <x v="0"/>
    <n v="0"/>
  </r>
  <r>
    <x v="67"/>
    <x v="291"/>
    <x v="291"/>
    <n v="6996"/>
    <x v="0"/>
    <n v="0"/>
  </r>
  <r>
    <x v="67"/>
    <x v="291"/>
    <x v="291"/>
    <n v="6998"/>
    <x v="0"/>
    <n v="0"/>
  </r>
  <r>
    <x v="67"/>
    <x v="292"/>
    <x v="292"/>
    <n v="7014"/>
    <x v="0"/>
    <n v="0"/>
  </r>
  <r>
    <x v="67"/>
    <x v="292"/>
    <x v="292"/>
    <n v="7016"/>
    <x v="0"/>
    <n v="0"/>
  </r>
  <r>
    <x v="67"/>
    <x v="292"/>
    <x v="292"/>
    <n v="7018"/>
    <x v="0"/>
    <n v="0"/>
  </r>
  <r>
    <x v="67"/>
    <x v="292"/>
    <x v="292"/>
    <n v="7020"/>
    <x v="0"/>
    <n v="0"/>
  </r>
  <r>
    <x v="67"/>
    <x v="292"/>
    <x v="292"/>
    <n v="7022"/>
    <x v="0"/>
    <n v="0"/>
  </r>
  <r>
    <x v="68"/>
    <x v="293"/>
    <x v="293"/>
    <n v="7038"/>
    <x v="0"/>
    <n v="0"/>
  </r>
  <r>
    <x v="68"/>
    <x v="293"/>
    <x v="293"/>
    <n v="7040"/>
    <x v="0"/>
    <n v="0"/>
  </r>
  <r>
    <x v="68"/>
    <x v="293"/>
    <x v="293"/>
    <n v="7042"/>
    <x v="0"/>
    <n v="0"/>
  </r>
  <r>
    <x v="68"/>
    <x v="293"/>
    <x v="293"/>
    <n v="7044"/>
    <x v="0"/>
    <n v="0"/>
  </r>
  <r>
    <x v="68"/>
    <x v="293"/>
    <x v="293"/>
    <n v="7046"/>
    <x v="0"/>
    <n v="0"/>
  </r>
  <r>
    <x v="68"/>
    <x v="294"/>
    <x v="294"/>
    <n v="7062"/>
    <x v="0"/>
    <n v="0"/>
  </r>
  <r>
    <x v="68"/>
    <x v="294"/>
    <x v="294"/>
    <n v="7064"/>
    <x v="0"/>
    <n v="0"/>
  </r>
  <r>
    <x v="68"/>
    <x v="294"/>
    <x v="294"/>
    <n v="7066"/>
    <x v="0"/>
    <n v="0"/>
  </r>
  <r>
    <x v="68"/>
    <x v="294"/>
    <x v="294"/>
    <n v="7068"/>
    <x v="0"/>
    <n v="0"/>
  </r>
  <r>
    <x v="68"/>
    <x v="294"/>
    <x v="294"/>
    <n v="7070"/>
    <x v="0"/>
    <n v="0"/>
  </r>
  <r>
    <x v="68"/>
    <x v="295"/>
    <x v="295"/>
    <n v="7086"/>
    <x v="0"/>
    <n v="0"/>
  </r>
  <r>
    <x v="68"/>
    <x v="295"/>
    <x v="295"/>
    <n v="7088"/>
    <x v="0"/>
    <n v="0"/>
  </r>
  <r>
    <x v="68"/>
    <x v="295"/>
    <x v="295"/>
    <n v="7090"/>
    <x v="0"/>
    <n v="0"/>
  </r>
  <r>
    <x v="68"/>
    <x v="295"/>
    <x v="295"/>
    <n v="7092"/>
    <x v="0"/>
    <n v="0"/>
  </r>
  <r>
    <x v="68"/>
    <x v="295"/>
    <x v="295"/>
    <n v="7094"/>
    <x v="0"/>
    <n v="0"/>
  </r>
  <r>
    <x v="68"/>
    <x v="296"/>
    <x v="296"/>
    <n v="7110"/>
    <x v="0"/>
    <n v="0"/>
  </r>
  <r>
    <x v="68"/>
    <x v="296"/>
    <x v="296"/>
    <n v="7112"/>
    <x v="0"/>
    <n v="0"/>
  </r>
  <r>
    <x v="68"/>
    <x v="296"/>
    <x v="296"/>
    <n v="7114"/>
    <x v="0"/>
    <n v="0"/>
  </r>
  <r>
    <x v="68"/>
    <x v="296"/>
    <x v="296"/>
    <n v="7116"/>
    <x v="0"/>
    <n v="0"/>
  </r>
  <r>
    <x v="68"/>
    <x v="296"/>
    <x v="296"/>
    <n v="7118"/>
    <x v="0"/>
    <n v="0"/>
  </r>
  <r>
    <x v="69"/>
    <x v="297"/>
    <x v="297"/>
    <n v="7134"/>
    <x v="0"/>
    <n v="0"/>
  </r>
  <r>
    <x v="69"/>
    <x v="297"/>
    <x v="297"/>
    <n v="7136"/>
    <x v="0"/>
    <n v="0"/>
  </r>
  <r>
    <x v="69"/>
    <x v="297"/>
    <x v="297"/>
    <n v="7138"/>
    <x v="0"/>
    <n v="0"/>
  </r>
  <r>
    <x v="69"/>
    <x v="297"/>
    <x v="297"/>
    <n v="7140"/>
    <x v="0"/>
    <n v="0"/>
  </r>
  <r>
    <x v="69"/>
    <x v="297"/>
    <x v="297"/>
    <n v="7142"/>
    <x v="0"/>
    <n v="0"/>
  </r>
  <r>
    <x v="69"/>
    <x v="298"/>
    <x v="298"/>
    <n v="7158"/>
    <x v="0"/>
    <n v="0"/>
  </r>
  <r>
    <x v="69"/>
    <x v="298"/>
    <x v="298"/>
    <n v="7160"/>
    <x v="0"/>
    <n v="0"/>
  </r>
  <r>
    <x v="69"/>
    <x v="298"/>
    <x v="298"/>
    <n v="7162"/>
    <x v="0"/>
    <n v="0"/>
  </r>
  <r>
    <x v="69"/>
    <x v="298"/>
    <x v="298"/>
    <n v="7164"/>
    <x v="0"/>
    <n v="0"/>
  </r>
  <r>
    <x v="69"/>
    <x v="298"/>
    <x v="298"/>
    <n v="7166"/>
    <x v="0"/>
    <n v="0"/>
  </r>
  <r>
    <x v="69"/>
    <x v="299"/>
    <x v="299"/>
    <n v="7182"/>
    <x v="0"/>
    <n v="0"/>
  </r>
  <r>
    <x v="69"/>
    <x v="299"/>
    <x v="299"/>
    <n v="7184"/>
    <x v="0"/>
    <n v="0"/>
  </r>
  <r>
    <x v="69"/>
    <x v="299"/>
    <x v="299"/>
    <n v="7186"/>
    <x v="0"/>
    <n v="0"/>
  </r>
  <r>
    <x v="69"/>
    <x v="299"/>
    <x v="299"/>
    <n v="7188"/>
    <x v="0"/>
    <n v="0"/>
  </r>
  <r>
    <x v="69"/>
    <x v="299"/>
    <x v="299"/>
    <n v="7190"/>
    <x v="0"/>
    <n v="0"/>
  </r>
  <r>
    <x v="69"/>
    <x v="300"/>
    <x v="300"/>
    <n v="7206"/>
    <x v="0"/>
    <n v="0"/>
  </r>
  <r>
    <x v="69"/>
    <x v="300"/>
    <x v="300"/>
    <n v="7208"/>
    <x v="0"/>
    <n v="0"/>
  </r>
  <r>
    <x v="69"/>
    <x v="300"/>
    <x v="300"/>
    <n v="7210"/>
    <x v="0"/>
    <n v="0"/>
  </r>
  <r>
    <x v="69"/>
    <x v="300"/>
    <x v="300"/>
    <n v="7212"/>
    <x v="0"/>
    <n v="0"/>
  </r>
  <r>
    <x v="69"/>
    <x v="300"/>
    <x v="300"/>
    <n v="7214"/>
    <x v="0"/>
    <n v="0"/>
  </r>
  <r>
    <x v="69"/>
    <x v="301"/>
    <x v="301"/>
    <n v="7230"/>
    <x v="0"/>
    <n v="0"/>
  </r>
  <r>
    <x v="69"/>
    <x v="301"/>
    <x v="301"/>
    <n v="7232"/>
    <x v="0"/>
    <n v="0"/>
  </r>
  <r>
    <x v="69"/>
    <x v="301"/>
    <x v="301"/>
    <n v="7234"/>
    <x v="0"/>
    <n v="0"/>
  </r>
  <r>
    <x v="69"/>
    <x v="301"/>
    <x v="301"/>
    <n v="7236"/>
    <x v="0"/>
    <n v="0"/>
  </r>
  <r>
    <x v="69"/>
    <x v="301"/>
    <x v="301"/>
    <n v="7238"/>
    <x v="0"/>
    <n v="0"/>
  </r>
  <r>
    <x v="70"/>
    <x v="302"/>
    <x v="302"/>
    <n v="7254"/>
    <x v="0"/>
    <n v="0"/>
  </r>
  <r>
    <x v="70"/>
    <x v="302"/>
    <x v="302"/>
    <n v="7256"/>
    <x v="0"/>
    <n v="0"/>
  </r>
  <r>
    <x v="70"/>
    <x v="302"/>
    <x v="302"/>
    <n v="7258"/>
    <x v="0"/>
    <n v="0"/>
  </r>
  <r>
    <x v="70"/>
    <x v="302"/>
    <x v="302"/>
    <n v="7260"/>
    <x v="0"/>
    <n v="0"/>
  </r>
  <r>
    <x v="70"/>
    <x v="302"/>
    <x v="302"/>
    <n v="7262"/>
    <x v="0"/>
    <n v="0"/>
  </r>
  <r>
    <x v="70"/>
    <x v="303"/>
    <x v="303"/>
    <n v="7278"/>
    <x v="0"/>
    <n v="0"/>
  </r>
  <r>
    <x v="70"/>
    <x v="303"/>
    <x v="303"/>
    <n v="7280"/>
    <x v="0"/>
    <n v="0"/>
  </r>
  <r>
    <x v="70"/>
    <x v="303"/>
    <x v="303"/>
    <n v="7282"/>
    <x v="0"/>
    <n v="0"/>
  </r>
  <r>
    <x v="70"/>
    <x v="303"/>
    <x v="303"/>
    <n v="7284"/>
    <x v="0"/>
    <n v="0"/>
  </r>
  <r>
    <x v="70"/>
    <x v="303"/>
    <x v="303"/>
    <n v="7286"/>
    <x v="0"/>
    <n v="0"/>
  </r>
  <r>
    <x v="70"/>
    <x v="304"/>
    <x v="304"/>
    <n v="7302"/>
    <x v="0"/>
    <n v="0"/>
  </r>
  <r>
    <x v="70"/>
    <x v="304"/>
    <x v="304"/>
    <n v="7304"/>
    <x v="0"/>
    <n v="0"/>
  </r>
  <r>
    <x v="70"/>
    <x v="304"/>
    <x v="304"/>
    <n v="7306"/>
    <x v="0"/>
    <n v="0"/>
  </r>
  <r>
    <x v="70"/>
    <x v="304"/>
    <x v="304"/>
    <n v="7308"/>
    <x v="0"/>
    <n v="0"/>
  </r>
  <r>
    <x v="70"/>
    <x v="304"/>
    <x v="304"/>
    <n v="7310"/>
    <x v="0"/>
    <n v="0"/>
  </r>
  <r>
    <x v="70"/>
    <x v="305"/>
    <x v="305"/>
    <n v="7326"/>
    <x v="0"/>
    <n v="0"/>
  </r>
  <r>
    <x v="70"/>
    <x v="305"/>
    <x v="305"/>
    <n v="7328"/>
    <x v="0"/>
    <n v="0"/>
  </r>
  <r>
    <x v="70"/>
    <x v="305"/>
    <x v="305"/>
    <n v="7330"/>
    <x v="0"/>
    <n v="0"/>
  </r>
  <r>
    <x v="70"/>
    <x v="305"/>
    <x v="305"/>
    <n v="7332"/>
    <x v="0"/>
    <n v="0"/>
  </r>
  <r>
    <x v="70"/>
    <x v="305"/>
    <x v="305"/>
    <n v="7334"/>
    <x v="0"/>
    <n v="0"/>
  </r>
  <r>
    <x v="71"/>
    <x v="306"/>
    <x v="306"/>
    <n v="7350"/>
    <x v="0"/>
    <n v="0"/>
  </r>
  <r>
    <x v="71"/>
    <x v="306"/>
    <x v="306"/>
    <n v="7352"/>
    <x v="0"/>
    <n v="0"/>
  </r>
  <r>
    <x v="71"/>
    <x v="306"/>
    <x v="306"/>
    <n v="7354"/>
    <x v="0"/>
    <n v="0"/>
  </r>
  <r>
    <x v="71"/>
    <x v="306"/>
    <x v="306"/>
    <n v="7356"/>
    <x v="0"/>
    <n v="0"/>
  </r>
  <r>
    <x v="71"/>
    <x v="306"/>
    <x v="306"/>
    <n v="7358"/>
    <x v="0"/>
    <n v="0"/>
  </r>
  <r>
    <x v="71"/>
    <x v="307"/>
    <x v="307"/>
    <n v="7374"/>
    <x v="0"/>
    <n v="0"/>
  </r>
  <r>
    <x v="71"/>
    <x v="307"/>
    <x v="307"/>
    <n v="7376"/>
    <x v="0"/>
    <n v="0"/>
  </r>
  <r>
    <x v="71"/>
    <x v="307"/>
    <x v="307"/>
    <n v="7378"/>
    <x v="0"/>
    <n v="0"/>
  </r>
  <r>
    <x v="71"/>
    <x v="307"/>
    <x v="307"/>
    <n v="7380"/>
    <x v="0"/>
    <n v="0"/>
  </r>
  <r>
    <x v="71"/>
    <x v="307"/>
    <x v="307"/>
    <n v="7382"/>
    <x v="0"/>
    <n v="0"/>
  </r>
  <r>
    <x v="71"/>
    <x v="308"/>
    <x v="308"/>
    <n v="7398"/>
    <x v="0"/>
    <n v="0"/>
  </r>
  <r>
    <x v="71"/>
    <x v="308"/>
    <x v="308"/>
    <n v="7400"/>
    <x v="0"/>
    <n v="0"/>
  </r>
  <r>
    <x v="71"/>
    <x v="308"/>
    <x v="308"/>
    <n v="7402"/>
    <x v="0"/>
    <n v="0"/>
  </r>
  <r>
    <x v="71"/>
    <x v="308"/>
    <x v="308"/>
    <n v="7404"/>
    <x v="0"/>
    <n v="0"/>
  </r>
  <r>
    <x v="71"/>
    <x v="308"/>
    <x v="308"/>
    <n v="7406"/>
    <x v="0"/>
    <n v="0"/>
  </r>
  <r>
    <x v="71"/>
    <x v="309"/>
    <x v="309"/>
    <n v="7422"/>
    <x v="0"/>
    <n v="0"/>
  </r>
  <r>
    <x v="71"/>
    <x v="309"/>
    <x v="309"/>
    <n v="7424"/>
    <x v="0"/>
    <n v="0"/>
  </r>
  <r>
    <x v="71"/>
    <x v="309"/>
    <x v="309"/>
    <n v="7426"/>
    <x v="0"/>
    <n v="0"/>
  </r>
  <r>
    <x v="71"/>
    <x v="309"/>
    <x v="309"/>
    <n v="7428"/>
    <x v="0"/>
    <n v="0"/>
  </r>
  <r>
    <x v="71"/>
    <x v="309"/>
    <x v="309"/>
    <n v="7430"/>
    <x v="0"/>
    <n v="0"/>
  </r>
  <r>
    <x v="71"/>
    <x v="310"/>
    <x v="310"/>
    <n v="7446"/>
    <x v="0"/>
    <n v="0"/>
  </r>
  <r>
    <x v="71"/>
    <x v="310"/>
    <x v="310"/>
    <n v="7448"/>
    <x v="0"/>
    <n v="0"/>
  </r>
  <r>
    <x v="71"/>
    <x v="310"/>
    <x v="310"/>
    <n v="7450"/>
    <x v="0"/>
    <n v="0"/>
  </r>
  <r>
    <x v="71"/>
    <x v="310"/>
    <x v="310"/>
    <n v="7452"/>
    <x v="0"/>
    <n v="0"/>
  </r>
  <r>
    <x v="71"/>
    <x v="310"/>
    <x v="310"/>
    <n v="7454"/>
    <x v="0"/>
    <n v="0"/>
  </r>
  <r>
    <x v="72"/>
    <x v="311"/>
    <x v="311"/>
    <n v="7470"/>
    <x v="0"/>
    <n v="0"/>
  </r>
  <r>
    <x v="72"/>
    <x v="311"/>
    <x v="311"/>
    <n v="7472"/>
    <x v="0"/>
    <n v="0"/>
  </r>
  <r>
    <x v="72"/>
    <x v="311"/>
    <x v="311"/>
    <n v="7474"/>
    <x v="0"/>
    <n v="0"/>
  </r>
  <r>
    <x v="72"/>
    <x v="311"/>
    <x v="311"/>
    <n v="7476"/>
    <x v="0"/>
    <n v="0"/>
  </r>
  <r>
    <x v="72"/>
    <x v="311"/>
    <x v="311"/>
    <n v="7478"/>
    <x v="0"/>
    <n v="0"/>
  </r>
  <r>
    <x v="72"/>
    <x v="312"/>
    <x v="312"/>
    <n v="7494"/>
    <x v="0"/>
    <n v="0"/>
  </r>
  <r>
    <x v="72"/>
    <x v="312"/>
    <x v="312"/>
    <n v="7496"/>
    <x v="0"/>
    <n v="0"/>
  </r>
  <r>
    <x v="72"/>
    <x v="312"/>
    <x v="312"/>
    <n v="7498"/>
    <x v="0"/>
    <n v="0"/>
  </r>
  <r>
    <x v="72"/>
    <x v="312"/>
    <x v="312"/>
    <n v="7500"/>
    <x v="0"/>
    <n v="0"/>
  </r>
  <r>
    <x v="72"/>
    <x v="312"/>
    <x v="312"/>
    <n v="7502"/>
    <x v="0"/>
    <n v="0"/>
  </r>
  <r>
    <x v="72"/>
    <x v="313"/>
    <x v="313"/>
    <n v="7518"/>
    <x v="0"/>
    <n v="0"/>
  </r>
  <r>
    <x v="72"/>
    <x v="313"/>
    <x v="313"/>
    <n v="7520"/>
    <x v="0"/>
    <n v="0"/>
  </r>
  <r>
    <x v="72"/>
    <x v="313"/>
    <x v="313"/>
    <n v="7522"/>
    <x v="0"/>
    <n v="0"/>
  </r>
  <r>
    <x v="72"/>
    <x v="313"/>
    <x v="313"/>
    <n v="7524"/>
    <x v="0"/>
    <n v="0"/>
  </r>
  <r>
    <x v="72"/>
    <x v="313"/>
    <x v="313"/>
    <n v="7526"/>
    <x v="0"/>
    <n v="0"/>
  </r>
  <r>
    <x v="72"/>
    <x v="314"/>
    <x v="314"/>
    <n v="7542"/>
    <x v="0"/>
    <n v="0"/>
  </r>
  <r>
    <x v="72"/>
    <x v="314"/>
    <x v="314"/>
    <n v="7544"/>
    <x v="0"/>
    <n v="0"/>
  </r>
  <r>
    <x v="72"/>
    <x v="314"/>
    <x v="314"/>
    <n v="7546"/>
    <x v="0"/>
    <n v="0"/>
  </r>
  <r>
    <x v="72"/>
    <x v="314"/>
    <x v="314"/>
    <n v="7548"/>
    <x v="0"/>
    <n v="0"/>
  </r>
  <r>
    <x v="72"/>
    <x v="314"/>
    <x v="314"/>
    <n v="7550"/>
    <x v="0"/>
    <n v="0"/>
  </r>
  <r>
    <x v="73"/>
    <x v="315"/>
    <x v="315"/>
    <n v="7566"/>
    <x v="0"/>
    <n v="0"/>
  </r>
  <r>
    <x v="73"/>
    <x v="315"/>
    <x v="315"/>
    <n v="7568"/>
    <x v="0"/>
    <n v="0"/>
  </r>
  <r>
    <x v="73"/>
    <x v="315"/>
    <x v="315"/>
    <n v="7570"/>
    <x v="0"/>
    <n v="0"/>
  </r>
  <r>
    <x v="73"/>
    <x v="315"/>
    <x v="315"/>
    <n v="7572"/>
    <x v="0"/>
    <n v="0"/>
  </r>
  <r>
    <x v="73"/>
    <x v="315"/>
    <x v="315"/>
    <n v="7574"/>
    <x v="0"/>
    <n v="0"/>
  </r>
  <r>
    <x v="73"/>
    <x v="316"/>
    <x v="316"/>
    <n v="7590"/>
    <x v="0"/>
    <n v="0"/>
  </r>
  <r>
    <x v="73"/>
    <x v="316"/>
    <x v="316"/>
    <n v="7592"/>
    <x v="0"/>
    <n v="0"/>
  </r>
  <r>
    <x v="73"/>
    <x v="316"/>
    <x v="316"/>
    <n v="7594"/>
    <x v="0"/>
    <n v="0"/>
  </r>
  <r>
    <x v="73"/>
    <x v="316"/>
    <x v="316"/>
    <n v="7596"/>
    <x v="0"/>
    <n v="0"/>
  </r>
  <r>
    <x v="73"/>
    <x v="316"/>
    <x v="316"/>
    <n v="7598"/>
    <x v="0"/>
    <n v="0"/>
  </r>
  <r>
    <x v="73"/>
    <x v="317"/>
    <x v="317"/>
    <n v="7614"/>
    <x v="0"/>
    <n v="0"/>
  </r>
  <r>
    <x v="73"/>
    <x v="317"/>
    <x v="317"/>
    <n v="7616"/>
    <x v="0"/>
    <n v="0"/>
  </r>
  <r>
    <x v="73"/>
    <x v="317"/>
    <x v="317"/>
    <n v="7618"/>
    <x v="0"/>
    <n v="0"/>
  </r>
  <r>
    <x v="73"/>
    <x v="317"/>
    <x v="317"/>
    <n v="7620"/>
    <x v="0"/>
    <n v="0"/>
  </r>
  <r>
    <x v="73"/>
    <x v="317"/>
    <x v="317"/>
    <n v="7622"/>
    <x v="0"/>
    <n v="0"/>
  </r>
  <r>
    <x v="73"/>
    <x v="318"/>
    <x v="318"/>
    <n v="7638"/>
    <x v="0"/>
    <n v="0"/>
  </r>
  <r>
    <x v="73"/>
    <x v="318"/>
    <x v="318"/>
    <n v="7640"/>
    <x v="0"/>
    <n v="0"/>
  </r>
  <r>
    <x v="73"/>
    <x v="318"/>
    <x v="318"/>
    <n v="7642"/>
    <x v="0"/>
    <n v="0"/>
  </r>
  <r>
    <x v="73"/>
    <x v="318"/>
    <x v="318"/>
    <n v="7644"/>
    <x v="0"/>
    <n v="0"/>
  </r>
  <r>
    <x v="73"/>
    <x v="318"/>
    <x v="318"/>
    <n v="7646"/>
    <x v="0"/>
    <n v="0"/>
  </r>
  <r>
    <x v="74"/>
    <x v="319"/>
    <x v="319"/>
    <n v="7662"/>
    <x v="0"/>
    <n v="0"/>
  </r>
  <r>
    <x v="74"/>
    <x v="319"/>
    <x v="319"/>
    <n v="7664"/>
    <x v="0"/>
    <n v="0"/>
  </r>
  <r>
    <x v="74"/>
    <x v="319"/>
    <x v="319"/>
    <n v="7666"/>
    <x v="0"/>
    <n v="0"/>
  </r>
  <r>
    <x v="74"/>
    <x v="319"/>
    <x v="319"/>
    <n v="7668"/>
    <x v="0"/>
    <n v="0"/>
  </r>
  <r>
    <x v="74"/>
    <x v="319"/>
    <x v="319"/>
    <n v="7670"/>
    <x v="0"/>
    <n v="0"/>
  </r>
  <r>
    <x v="74"/>
    <x v="320"/>
    <x v="320"/>
    <n v="7686"/>
    <x v="0"/>
    <n v="0"/>
  </r>
  <r>
    <x v="74"/>
    <x v="320"/>
    <x v="320"/>
    <n v="7688"/>
    <x v="0"/>
    <n v="0"/>
  </r>
  <r>
    <x v="74"/>
    <x v="320"/>
    <x v="320"/>
    <n v="7690"/>
    <x v="0"/>
    <n v="0"/>
  </r>
  <r>
    <x v="74"/>
    <x v="320"/>
    <x v="320"/>
    <n v="7692"/>
    <x v="0"/>
    <n v="0"/>
  </r>
  <r>
    <x v="74"/>
    <x v="320"/>
    <x v="320"/>
    <n v="7694"/>
    <x v="0"/>
    <n v="0"/>
  </r>
  <r>
    <x v="74"/>
    <x v="321"/>
    <x v="321"/>
    <n v="7710"/>
    <x v="0"/>
    <n v="0"/>
  </r>
  <r>
    <x v="74"/>
    <x v="321"/>
    <x v="321"/>
    <n v="7712"/>
    <x v="0"/>
    <n v="0"/>
  </r>
  <r>
    <x v="74"/>
    <x v="321"/>
    <x v="321"/>
    <n v="7714"/>
    <x v="0"/>
    <n v="0"/>
  </r>
  <r>
    <x v="74"/>
    <x v="321"/>
    <x v="321"/>
    <n v="7716"/>
    <x v="0"/>
    <n v="0"/>
  </r>
  <r>
    <x v="74"/>
    <x v="321"/>
    <x v="321"/>
    <n v="7718"/>
    <x v="0"/>
    <n v="0"/>
  </r>
  <r>
    <x v="74"/>
    <x v="322"/>
    <x v="322"/>
    <n v="7734"/>
    <x v="0"/>
    <n v="0"/>
  </r>
  <r>
    <x v="74"/>
    <x v="322"/>
    <x v="322"/>
    <n v="7736"/>
    <x v="0"/>
    <n v="0"/>
  </r>
  <r>
    <x v="74"/>
    <x v="322"/>
    <x v="322"/>
    <n v="7738"/>
    <x v="0"/>
    <n v="0"/>
  </r>
  <r>
    <x v="74"/>
    <x v="322"/>
    <x v="322"/>
    <n v="7740"/>
    <x v="0"/>
    <n v="0"/>
  </r>
  <r>
    <x v="74"/>
    <x v="322"/>
    <x v="322"/>
    <n v="7742"/>
    <x v="0"/>
    <n v="0"/>
  </r>
  <r>
    <x v="74"/>
    <x v="323"/>
    <x v="323"/>
    <n v="7758"/>
    <x v="0"/>
    <n v="0"/>
  </r>
  <r>
    <x v="74"/>
    <x v="323"/>
    <x v="323"/>
    <n v="7760"/>
    <x v="0"/>
    <n v="0"/>
  </r>
  <r>
    <x v="74"/>
    <x v="323"/>
    <x v="323"/>
    <n v="7762"/>
    <x v="0"/>
    <n v="0"/>
  </r>
  <r>
    <x v="74"/>
    <x v="323"/>
    <x v="323"/>
    <n v="7764"/>
    <x v="0"/>
    <n v="0"/>
  </r>
  <r>
    <x v="74"/>
    <x v="323"/>
    <x v="323"/>
    <n v="7766"/>
    <x v="0"/>
    <n v="0"/>
  </r>
  <r>
    <x v="75"/>
    <x v="324"/>
    <x v="324"/>
    <n v="7782"/>
    <x v="0"/>
    <n v="0"/>
  </r>
  <r>
    <x v="75"/>
    <x v="324"/>
    <x v="324"/>
    <n v="7784"/>
    <x v="0"/>
    <n v="0"/>
  </r>
  <r>
    <x v="75"/>
    <x v="324"/>
    <x v="324"/>
    <n v="7786"/>
    <x v="0"/>
    <n v="0"/>
  </r>
  <r>
    <x v="75"/>
    <x v="324"/>
    <x v="324"/>
    <n v="7788"/>
    <x v="0"/>
    <n v="0"/>
  </r>
  <r>
    <x v="75"/>
    <x v="324"/>
    <x v="324"/>
    <n v="7790"/>
    <x v="0"/>
    <n v="0"/>
  </r>
  <r>
    <x v="75"/>
    <x v="325"/>
    <x v="325"/>
    <n v="7806"/>
    <x v="0"/>
    <n v="0"/>
  </r>
  <r>
    <x v="75"/>
    <x v="325"/>
    <x v="325"/>
    <n v="7808"/>
    <x v="0"/>
    <n v="0"/>
  </r>
  <r>
    <x v="75"/>
    <x v="325"/>
    <x v="325"/>
    <n v="7810"/>
    <x v="0"/>
    <n v="0"/>
  </r>
  <r>
    <x v="75"/>
    <x v="325"/>
    <x v="325"/>
    <n v="7812"/>
    <x v="0"/>
    <n v="0"/>
  </r>
  <r>
    <x v="75"/>
    <x v="325"/>
    <x v="325"/>
    <n v="7814"/>
    <x v="0"/>
    <n v="0"/>
  </r>
  <r>
    <x v="75"/>
    <x v="326"/>
    <x v="326"/>
    <n v="7830"/>
    <x v="0"/>
    <n v="0"/>
  </r>
  <r>
    <x v="75"/>
    <x v="326"/>
    <x v="326"/>
    <n v="7832"/>
    <x v="0"/>
    <n v="0"/>
  </r>
  <r>
    <x v="75"/>
    <x v="326"/>
    <x v="326"/>
    <n v="7834"/>
    <x v="0"/>
    <n v="0"/>
  </r>
  <r>
    <x v="75"/>
    <x v="326"/>
    <x v="326"/>
    <n v="7836"/>
    <x v="0"/>
    <n v="0"/>
  </r>
  <r>
    <x v="75"/>
    <x v="326"/>
    <x v="326"/>
    <n v="7838"/>
    <x v="0"/>
    <n v="0"/>
  </r>
  <r>
    <x v="75"/>
    <x v="327"/>
    <x v="327"/>
    <n v="7854"/>
    <x v="0"/>
    <n v="0"/>
  </r>
  <r>
    <x v="75"/>
    <x v="327"/>
    <x v="327"/>
    <n v="7856"/>
    <x v="0"/>
    <n v="0"/>
  </r>
  <r>
    <x v="75"/>
    <x v="327"/>
    <x v="327"/>
    <n v="7858"/>
    <x v="0"/>
    <n v="0"/>
  </r>
  <r>
    <x v="75"/>
    <x v="327"/>
    <x v="327"/>
    <n v="7860"/>
    <x v="0"/>
    <n v="0"/>
  </r>
  <r>
    <x v="75"/>
    <x v="327"/>
    <x v="327"/>
    <n v="7862"/>
    <x v="0"/>
    <n v="0"/>
  </r>
  <r>
    <x v="76"/>
    <x v="328"/>
    <x v="328"/>
    <n v="7878"/>
    <x v="0"/>
    <n v="0"/>
  </r>
  <r>
    <x v="76"/>
    <x v="328"/>
    <x v="328"/>
    <n v="7880"/>
    <x v="0"/>
    <n v="0"/>
  </r>
  <r>
    <x v="76"/>
    <x v="328"/>
    <x v="328"/>
    <n v="7882"/>
    <x v="0"/>
    <n v="0"/>
  </r>
  <r>
    <x v="76"/>
    <x v="328"/>
    <x v="328"/>
    <n v="7884"/>
    <x v="0"/>
    <n v="0"/>
  </r>
  <r>
    <x v="76"/>
    <x v="328"/>
    <x v="328"/>
    <n v="7886"/>
    <x v="0"/>
    <n v="0"/>
  </r>
  <r>
    <x v="76"/>
    <x v="329"/>
    <x v="329"/>
    <n v="7902"/>
    <x v="0"/>
    <n v="0"/>
  </r>
  <r>
    <x v="76"/>
    <x v="329"/>
    <x v="329"/>
    <n v="7904"/>
    <x v="0"/>
    <n v="0"/>
  </r>
  <r>
    <x v="76"/>
    <x v="329"/>
    <x v="329"/>
    <n v="7906"/>
    <x v="0"/>
    <n v="0"/>
  </r>
  <r>
    <x v="76"/>
    <x v="329"/>
    <x v="329"/>
    <n v="7908"/>
    <x v="0"/>
    <n v="0"/>
  </r>
  <r>
    <x v="76"/>
    <x v="329"/>
    <x v="329"/>
    <n v="7910"/>
    <x v="0"/>
    <n v="0"/>
  </r>
  <r>
    <x v="76"/>
    <x v="330"/>
    <x v="330"/>
    <n v="7926"/>
    <x v="0"/>
    <n v="0"/>
  </r>
  <r>
    <x v="76"/>
    <x v="330"/>
    <x v="330"/>
    <n v="7928"/>
    <x v="0"/>
    <n v="0"/>
  </r>
  <r>
    <x v="76"/>
    <x v="330"/>
    <x v="330"/>
    <n v="7930"/>
    <x v="0"/>
    <n v="0"/>
  </r>
  <r>
    <x v="76"/>
    <x v="330"/>
    <x v="330"/>
    <n v="7932"/>
    <x v="0"/>
    <n v="0"/>
  </r>
  <r>
    <x v="76"/>
    <x v="330"/>
    <x v="330"/>
    <n v="7934"/>
    <x v="0"/>
    <n v="0"/>
  </r>
  <r>
    <x v="76"/>
    <x v="331"/>
    <x v="331"/>
    <n v="7950"/>
    <x v="0"/>
    <n v="0"/>
  </r>
  <r>
    <x v="76"/>
    <x v="331"/>
    <x v="331"/>
    <n v="7952"/>
    <x v="0"/>
    <n v="0"/>
  </r>
  <r>
    <x v="76"/>
    <x v="331"/>
    <x v="331"/>
    <n v="7954"/>
    <x v="0"/>
    <n v="0"/>
  </r>
  <r>
    <x v="76"/>
    <x v="331"/>
    <x v="331"/>
    <n v="7956"/>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2" cacheId="0" autoFormatId="1" applyNumberFormats="0" applyBorderFormats="0" applyFontFormats="0" applyPatternFormats="0" applyAlignmentFormats="0" applyWidthHeightFormats="1" dataCaption="Valores" updatedVersion="8" minRefreshableVersion="3" createdVersion="5" useAutoFormatting="1" indent="0" outline="1" outlineData="1" showDrill="1" multipleFieldFilters="0" chartFormat="9">
  <location ref="M31:R108" firstHeaderRow="1" firstDataRow="2" firstDataCol="1"/>
  <pivotFields count="10">
    <pivotField axis="axisCol" dataField="1" multipleItemSelectionAllowed="1" showAll="0">
      <items count="5">
        <item x="3"/>
        <item x="1"/>
        <item x="0"/>
        <item x="2"/>
        <item t="default"/>
      </items>
    </pivotField>
    <pivotField axis="axisRow" multipleItemSelectionAllowed="1" showAll="0">
      <items count="5">
        <item x="2"/>
        <item x="1"/>
        <item x="0"/>
        <item x="3"/>
        <item t="default"/>
      </items>
    </pivotField>
    <pivotField showAll="0"/>
    <pivotField showAll="0"/>
    <pivotField axis="axisRow" multipleItemSelectionAllowed="1" showAll="0">
      <items count="15">
        <item x="0"/>
        <item x="1"/>
        <item x="2"/>
        <item x="3"/>
        <item x="4"/>
        <item x="5"/>
        <item x="6"/>
        <item x="7"/>
        <item x="8"/>
        <item x="9"/>
        <item x="10"/>
        <item x="11"/>
        <item x="12"/>
        <item x="13"/>
        <item t="default"/>
      </items>
    </pivotField>
    <pivotField multipleItemSelectionAllowed="1" showAll="0"/>
    <pivotField showAll="0"/>
    <pivotField showAll="0"/>
    <pivotField defaultSubtotal="0" showAll="0">
      <items count="6">
        <item sd="0" x="0"/>
        <item sd="0" x="1"/>
        <item sd="0" x="2"/>
        <item sd="0" x="3"/>
        <item sd="0" x="4"/>
        <item x="5"/>
      </items>
    </pivotField>
    <pivotField axis="axisRow" defaultSubtotal="0" showAll="0">
      <items count="7">
        <item x="0"/>
        <item x="1"/>
        <item x="2"/>
        <item x="3"/>
        <item x="4"/>
        <item x="5"/>
        <item x="6"/>
      </items>
    </pivotField>
  </pivotFields>
  <rowFields count="3">
    <field x="9"/>
    <field x="4"/>
    <field x="1"/>
  </rowFields>
  <rowItems count="76">
    <i>
      <x v="1"/>
    </i>
    <i r="1">
      <x v="6"/>
    </i>
    <i r="2">
      <x/>
    </i>
    <i r="2">
      <x v="1"/>
    </i>
    <i r="2">
      <x v="2"/>
    </i>
    <i r="1">
      <x v="12"/>
    </i>
    <i r="2">
      <x/>
    </i>
    <i r="2">
      <x v="1"/>
    </i>
    <i r="2">
      <x v="2"/>
    </i>
    <i r="2">
      <x v="3"/>
    </i>
    <i>
      <x v="2"/>
    </i>
    <i r="1">
      <x v="2"/>
    </i>
    <i r="2">
      <x/>
    </i>
    <i r="2">
      <x v="1"/>
    </i>
    <i r="2">
      <x v="2"/>
    </i>
    <i r="2">
      <x v="3"/>
    </i>
    <i r="1">
      <x v="9"/>
    </i>
    <i r="2">
      <x/>
    </i>
    <i r="2">
      <x v="1"/>
    </i>
    <i r="2">
      <x v="2"/>
    </i>
    <i r="1">
      <x v="10"/>
    </i>
    <i r="2">
      <x/>
    </i>
    <i r="2">
      <x v="1"/>
    </i>
    <i r="2">
      <x v="2"/>
    </i>
    <i r="2">
      <x v="3"/>
    </i>
    <i r="1">
      <x v="11"/>
    </i>
    <i r="2">
      <x/>
    </i>
    <i r="2">
      <x v="1"/>
    </i>
    <i r="2">
      <x v="2"/>
    </i>
    <i r="1">
      <x v="12"/>
    </i>
    <i r="2">
      <x/>
    </i>
    <i r="2">
      <x v="1"/>
    </i>
    <i r="2">
      <x v="2"/>
    </i>
    <i r="2">
      <x v="3"/>
    </i>
    <i>
      <x v="3"/>
    </i>
    <i r="1">
      <x v="1"/>
    </i>
    <i r="2">
      <x/>
    </i>
    <i r="2">
      <x v="1"/>
    </i>
    <i r="2">
      <x v="2"/>
    </i>
    <i r="1">
      <x v="2"/>
    </i>
    <i r="2">
      <x/>
    </i>
    <i r="2">
      <x v="1"/>
    </i>
    <i r="2">
      <x v="2"/>
    </i>
    <i r="1">
      <x v="3"/>
    </i>
    <i r="2">
      <x v="1"/>
    </i>
    <i r="2">
      <x v="2"/>
    </i>
    <i r="1">
      <x v="6"/>
    </i>
    <i r="2">
      <x/>
    </i>
    <i r="2">
      <x v="1"/>
    </i>
    <i r="2">
      <x v="2"/>
    </i>
    <i r="1">
      <x v="8"/>
    </i>
    <i r="2">
      <x v="2"/>
    </i>
    <i r="1">
      <x v="9"/>
    </i>
    <i r="2">
      <x/>
    </i>
    <i r="2">
      <x v="1"/>
    </i>
    <i r="2">
      <x v="2"/>
    </i>
    <i r="1">
      <x v="12"/>
    </i>
    <i r="2">
      <x/>
    </i>
    <i r="2">
      <x v="1"/>
    </i>
    <i r="2">
      <x v="2"/>
    </i>
    <i r="2">
      <x v="3"/>
    </i>
    <i>
      <x v="4"/>
    </i>
    <i r="1">
      <x v="9"/>
    </i>
    <i r="2">
      <x v="1"/>
    </i>
    <i r="2">
      <x v="2"/>
    </i>
    <i r="1">
      <x v="12"/>
    </i>
    <i r="2">
      <x v="2"/>
    </i>
    <i>
      <x v="5"/>
    </i>
    <i r="1">
      <x v="9"/>
    </i>
    <i r="2">
      <x/>
    </i>
    <i r="2">
      <x v="1"/>
    </i>
    <i r="2">
      <x v="2"/>
    </i>
    <i r="2">
      <x v="3"/>
    </i>
    <i r="1">
      <x v="12"/>
    </i>
    <i r="2">
      <x v="3"/>
    </i>
    <i t="grand">
      <x/>
    </i>
  </rowItems>
  <colFields count="1">
    <field x="0"/>
  </colFields>
  <colItems count="5">
    <i>
      <x/>
    </i>
    <i>
      <x v="1"/>
    </i>
    <i>
      <x v="2"/>
    </i>
    <i>
      <x v="3"/>
    </i>
    <i t="grand">
      <x/>
    </i>
  </colItems>
  <dataFields count="1">
    <dataField name="Contagem de STATUS" fld="0" subtotal="count" showDataAs="percentOfRow" baseField="0" baseItem="0" numFmtId="10"/>
  </dataFields>
  <pivotTableStyleInfo name="PivotStyleMedium9"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1" cacheId="1" autoFormatId="1" applyNumberFormats="0" applyBorderFormats="0" applyFontFormats="0" applyPatternFormats="0" applyAlignmentFormats="0" applyWidthHeightFormats="1" dataCaption="Valores" updatedVersion="8" minRefreshableVersion="3" createdVersion="5" useAutoFormatting="1" indent="0" outline="1" outlineData="1" showDrill="1" multipleFieldFilters="0" chartFormat="4">
  <location ref="I35:K56" firstHeaderRow="1" firstDataRow="2" firstDataCol="1" rowPageCount="1" colPageCount="1"/>
  <pivotFields count="8">
    <pivotField axis="axisPage" multipleItemSelectionAllowed="1" numFmtId="17" showAll="0">
      <items count="86">
        <item m="1" x="77"/>
        <item m="1" x="78"/>
        <item h="1" m="1" x="79"/>
        <item h="1" m="1" x="80"/>
        <item h="1" m="1" x="81"/>
        <item h="1" m="1" x="82"/>
        <item h="1" m="1" x="83"/>
        <item h="1" m="1" x="84"/>
        <item x="0"/>
        <item x="1"/>
        <item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t="default"/>
      </items>
      <extLst>
        <ext xmlns:x14="http://schemas.microsoft.com/office/spreadsheetml/2009/9/main" uri="{2946ED86-A175-432a-8AC1-64E0C546D7DE}">
          <x14:pivotField fillDownLabels="1"/>
        </ext>
      </extLst>
    </pivotField>
    <pivotField axis="axisRow" defaultSubtotal="0" numFmtId="58" showAll="0">
      <items count="14">
        <item x="0"/>
        <item x="1"/>
        <item x="2"/>
        <item x="3"/>
        <item x="4"/>
        <item x="5"/>
        <item x="6"/>
        <item x="7"/>
        <item x="8"/>
        <item x="9"/>
        <item x="10"/>
        <item x="11"/>
        <item x="12"/>
        <item x="13"/>
      </items>
    </pivotField>
    <pivotField axis="axisRow" sortType="ascending" defaultSubtotal="0" showAll="0">
      <items count="374">
        <item m="1" x="332"/>
        <item x="119"/>
        <item x="123"/>
        <item x="284"/>
        <item x="84"/>
        <item x="297"/>
        <item x="197"/>
        <item x="45"/>
        <item m="1" x="367"/>
        <item x="258"/>
        <item x="158"/>
        <item x="58"/>
        <item x="219"/>
        <item x="67"/>
        <item x="71"/>
        <item m="1" x="341"/>
        <item x="232"/>
        <item x="184"/>
        <item x="32"/>
        <item m="1" x="354"/>
        <item x="245"/>
        <item x="145"/>
        <item x="306"/>
        <item x="106"/>
        <item x="319"/>
        <item x="167"/>
        <item x="328"/>
        <item x="19"/>
        <item x="132"/>
        <item x="293"/>
        <item x="93"/>
        <item m="1" x="363"/>
        <item x="254"/>
        <item x="206"/>
        <item x="54"/>
        <item x="6"/>
        <item x="267"/>
        <item x="115"/>
        <item x="15"/>
        <item x="276"/>
        <item x="280"/>
        <item x="180"/>
        <item x="80"/>
        <item m="1" x="350"/>
        <item x="241"/>
        <item x="193"/>
        <item x="41"/>
        <item x="154"/>
        <item x="315"/>
        <item x="63"/>
        <item m="1" x="333"/>
        <item m="1" x="337"/>
        <item x="228"/>
        <item x="128"/>
        <item x="28"/>
        <item x="141"/>
        <item x="302"/>
        <item x="202"/>
        <item x="102"/>
        <item x="2"/>
        <item x="263"/>
        <item x="215"/>
        <item x="324"/>
        <item x="224"/>
        <item x="76"/>
        <item x="289"/>
        <item x="189"/>
        <item x="89"/>
        <item m="1" x="359"/>
        <item x="250"/>
        <item x="150"/>
        <item x="50"/>
        <item x="163"/>
        <item x="11"/>
        <item x="272"/>
        <item x="172"/>
        <item x="176"/>
        <item x="24"/>
        <item m="1" x="346"/>
        <item x="237"/>
        <item x="137"/>
        <item x="37"/>
        <item x="98"/>
        <item x="311"/>
        <item x="211"/>
        <item x="111"/>
        <item x="120"/>
        <item x="124"/>
        <item x="285"/>
        <item x="85"/>
        <item x="298"/>
        <item x="198"/>
        <item x="46"/>
        <item m="1" x="368"/>
        <item x="259"/>
        <item x="159"/>
        <item x="59"/>
        <item x="220"/>
        <item x="68"/>
        <item x="72"/>
        <item m="1" x="342"/>
        <item x="233"/>
        <item x="185"/>
        <item x="33"/>
        <item m="1" x="355"/>
        <item x="246"/>
        <item x="146"/>
        <item x="307"/>
        <item x="107"/>
        <item x="320"/>
        <item x="168"/>
        <item x="329"/>
        <item x="20"/>
        <item x="133"/>
        <item x="294"/>
        <item x="94"/>
        <item m="1" x="364"/>
        <item x="255"/>
        <item x="207"/>
        <item x="55"/>
        <item x="7"/>
        <item x="268"/>
        <item x="116"/>
        <item x="16"/>
        <item x="277"/>
        <item x="281"/>
        <item x="181"/>
        <item x="81"/>
        <item m="1" x="351"/>
        <item x="242"/>
        <item x="194"/>
        <item x="42"/>
        <item x="155"/>
        <item x="316"/>
        <item x="64"/>
        <item m="1" x="334"/>
        <item m="1" x="338"/>
        <item x="229"/>
        <item x="129"/>
        <item x="29"/>
        <item x="142"/>
        <item x="303"/>
        <item x="203"/>
        <item x="103"/>
        <item x="3"/>
        <item x="264"/>
        <item x="216"/>
        <item x="325"/>
        <item x="225"/>
        <item x="77"/>
        <item x="290"/>
        <item x="190"/>
        <item x="90"/>
        <item m="1" x="360"/>
        <item x="251"/>
        <item x="151"/>
        <item x="51"/>
        <item x="164"/>
        <item x="12"/>
        <item x="273"/>
        <item x="173"/>
        <item x="177"/>
        <item x="25"/>
        <item m="1" x="347"/>
        <item x="238"/>
        <item x="138"/>
        <item x="38"/>
        <item x="99"/>
        <item x="312"/>
        <item x="212"/>
        <item x="112"/>
        <item x="121"/>
        <item x="125"/>
        <item x="286"/>
        <item x="86"/>
        <item x="299"/>
        <item x="199"/>
        <item x="47"/>
        <item m="1" x="369"/>
        <item x="260"/>
        <item x="160"/>
        <item x="60"/>
        <item x="221"/>
        <item x="69"/>
        <item x="73"/>
        <item m="1" x="343"/>
        <item x="234"/>
        <item x="186"/>
        <item x="34"/>
        <item m="1" x="356"/>
        <item x="247"/>
        <item x="147"/>
        <item x="308"/>
        <item x="108"/>
        <item x="321"/>
        <item x="169"/>
        <item x="330"/>
        <item x="21"/>
        <item x="134"/>
        <item x="295"/>
        <item x="95"/>
        <item m="1" x="365"/>
        <item x="256"/>
        <item x="208"/>
        <item x="56"/>
        <item x="8"/>
        <item x="269"/>
        <item x="117"/>
        <item x="17"/>
        <item x="278"/>
        <item x="282"/>
        <item x="182"/>
        <item x="82"/>
        <item m="1" x="352"/>
        <item x="243"/>
        <item x="195"/>
        <item x="43"/>
        <item x="156"/>
        <item x="317"/>
        <item x="65"/>
        <item m="1" x="335"/>
        <item m="1" x="339"/>
        <item x="230"/>
        <item x="130"/>
        <item x="30"/>
        <item x="143"/>
        <item x="304"/>
        <item x="204"/>
        <item x="104"/>
        <item x="4"/>
        <item x="265"/>
        <item x="217"/>
        <item x="326"/>
        <item x="226"/>
        <item x="78"/>
        <item x="291"/>
        <item x="191"/>
        <item x="91"/>
        <item m="1" x="361"/>
        <item x="252"/>
        <item x="152"/>
        <item x="52"/>
        <item x="165"/>
        <item x="13"/>
        <item x="274"/>
        <item x="174"/>
        <item x="178"/>
        <item x="26"/>
        <item m="1" x="348"/>
        <item x="239"/>
        <item x="139"/>
        <item x="39"/>
        <item x="100"/>
        <item x="313"/>
        <item x="213"/>
        <item x="113"/>
        <item x="122"/>
        <item x="126"/>
        <item x="287"/>
        <item x="87"/>
        <item x="300"/>
        <item x="200"/>
        <item x="48"/>
        <item x="0"/>
        <item x="261"/>
        <item x="161"/>
        <item x="61"/>
        <item x="222"/>
        <item x="70"/>
        <item x="74"/>
        <item m="1" x="344"/>
        <item x="235"/>
        <item x="187"/>
        <item x="35"/>
        <item m="1" x="357"/>
        <item x="248"/>
        <item x="148"/>
        <item x="309"/>
        <item x="109"/>
        <item x="322"/>
        <item x="170"/>
        <item x="331"/>
        <item x="22"/>
        <item x="135"/>
        <item x="296"/>
        <item x="96"/>
        <item m="1" x="366"/>
        <item x="257"/>
        <item x="209"/>
        <item x="57"/>
        <item x="9"/>
        <item x="270"/>
        <item x="118"/>
        <item x="18"/>
        <item x="279"/>
        <item x="283"/>
        <item x="183"/>
        <item x="83"/>
        <item m="1" x="353"/>
        <item x="244"/>
        <item x="196"/>
        <item x="44"/>
        <item x="157"/>
        <item x="318"/>
        <item x="66"/>
        <item m="1" x="336"/>
        <item m="1" x="340"/>
        <item x="231"/>
        <item x="131"/>
        <item x="31"/>
        <item x="144"/>
        <item x="305"/>
        <item x="205"/>
        <item x="105"/>
        <item x="5"/>
        <item x="266"/>
        <item x="218"/>
        <item x="327"/>
        <item x="227"/>
        <item x="79"/>
        <item x="292"/>
        <item x="192"/>
        <item x="92"/>
        <item m="1" x="362"/>
        <item x="253"/>
        <item x="153"/>
        <item x="53"/>
        <item x="166"/>
        <item x="14"/>
        <item x="275"/>
        <item x="175"/>
        <item x="179"/>
        <item x="27"/>
        <item m="1" x="349"/>
        <item x="240"/>
        <item x="140"/>
        <item x="40"/>
        <item x="101"/>
        <item x="314"/>
        <item x="214"/>
        <item x="114"/>
        <item x="127"/>
        <item x="288"/>
        <item x="88"/>
        <item x="301"/>
        <item x="201"/>
        <item x="49"/>
        <item x="1"/>
        <item x="262"/>
        <item x="162"/>
        <item x="62"/>
        <item x="223"/>
        <item x="75"/>
        <item m="1" x="345"/>
        <item x="236"/>
        <item x="188"/>
        <item x="36"/>
        <item m="1" x="358"/>
        <item x="249"/>
        <item x="149"/>
        <item x="310"/>
        <item x="110"/>
        <item x="323"/>
        <item x="171"/>
        <item x="23"/>
        <item x="136"/>
        <item x="97"/>
        <item x="210"/>
        <item x="10"/>
        <item x="271"/>
        <item m="1" x="372"/>
        <item m="1" x="370"/>
        <item m="1" x="373"/>
        <item m="1" x="371"/>
      </items>
    </pivotField>
    <pivotField showAll="0"/>
    <pivotField axis="axisCol" showAll="0">
      <items count="2">
        <item x="0"/>
        <item t="default"/>
      </items>
    </pivotField>
    <pivotField dataField="1" showAll="0"/>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2">
    <field x="1"/>
    <field x="2"/>
  </rowFields>
  <rowItems count="20">
    <i>
      <x v="1"/>
    </i>
    <i r="1">
      <x v="73"/>
    </i>
    <i r="1">
      <x v="158"/>
    </i>
    <i r="1">
      <x v="243"/>
    </i>
    <i r="1">
      <x v="328"/>
    </i>
    <i>
      <x v="10"/>
    </i>
    <i r="1">
      <x v="263"/>
    </i>
    <i r="1">
      <x v="347"/>
    </i>
    <i>
      <x v="11"/>
    </i>
    <i r="1">
      <x v="59"/>
    </i>
    <i r="1">
      <x v="144"/>
    </i>
    <i r="1">
      <x v="229"/>
    </i>
    <i r="1">
      <x v="314"/>
    </i>
    <i>
      <x v="12"/>
    </i>
    <i r="1">
      <x v="35"/>
    </i>
    <i r="1">
      <x v="120"/>
    </i>
    <i r="1">
      <x v="205"/>
    </i>
    <i r="1">
      <x v="290"/>
    </i>
    <i r="1">
      <x v="368"/>
    </i>
    <i t="grand">
      <x/>
    </i>
  </rowItems>
  <colFields count="1">
    <field x="4"/>
  </colFields>
  <colItems count="2">
    <i>
      <x/>
    </i>
    <i t="grand">
      <x/>
    </i>
  </colItems>
  <pageFields count="1">
    <pageField fld="0"/>
  </pageFields>
  <dataFields count="1">
    <dataField name="Contagem de AÇÃO" fld="5" subtotal="count" showDataAs="percentOfRow" baseField="0" baseItem="0" numFmtId="10"/>
  </dataFields>
  <pivotTableStyleInfo name="PivotStyleMedium9"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ela dinâmica3" cacheId="0" autoFormatId="1" applyNumberFormats="0" applyBorderFormats="0" applyFontFormats="0" applyPatternFormats="0" applyAlignmentFormats="0" applyWidthHeightFormats="1" dataCaption="Valores" updatedVersion="8" minRefreshableVersion="3" createdVersion="5" useAutoFormatting="1" indent="0" outline="1" outlineData="1" showDrill="1" multipleFieldFilters="0" chartFormat="8">
  <location ref="A31:F65" firstHeaderRow="1" firstDataRow="2" firstDataCol="1" rowPageCount="1" colPageCount="1"/>
  <pivotFields count="10">
    <pivotField axis="axisCol" dataField="1" multipleItemSelectionAllowed="1" showAll="0">
      <items count="5">
        <item x="3"/>
        <item x="1"/>
        <item x="0"/>
        <item x="2"/>
        <item t="default"/>
      </items>
    </pivotField>
    <pivotField axis="axisRow" multipleItemSelectionAllowed="1" showAll="0">
      <items count="5">
        <item x="2"/>
        <item x="1"/>
        <item x="0"/>
        <item x="3"/>
        <item t="default"/>
      </items>
    </pivotField>
    <pivotField showAll="0"/>
    <pivotField showAll="0"/>
    <pivotField axis="axisPage" multipleItemSelectionAllowed="1" showAll="0">
      <items count="15">
        <item x="0"/>
        <item x="1"/>
        <item x="2"/>
        <item x="3"/>
        <item x="4"/>
        <item x="5"/>
        <item x="6"/>
        <item x="7"/>
        <item x="8"/>
        <item x="9"/>
        <item x="10"/>
        <item x="11"/>
        <item x="12"/>
        <item x="13"/>
        <item t="default"/>
      </items>
    </pivotField>
    <pivotField axis="axisRow" multipleItemSelectionAllowed="1" showAll="0">
      <items count="10">
        <item x="2"/>
        <item x="7"/>
        <item x="6"/>
        <item m="1" x="8"/>
        <item x="0"/>
        <item x="5"/>
        <item x="1"/>
        <item x="3"/>
        <item x="4"/>
        <item t="default"/>
      </items>
    </pivotField>
    <pivotField showAll="0"/>
    <pivotField showAll="0"/>
    <pivotField defaultSubtotal="0" showAll="0">
      <items count="6">
        <item x="0"/>
        <item x="1"/>
        <item x="2"/>
        <item x="3"/>
        <item x="4"/>
        <item x="5"/>
      </items>
    </pivotField>
    <pivotField defaultSubtotal="0" showAll="0">
      <items count="7">
        <item x="0"/>
        <item x="1"/>
        <item x="2"/>
        <item x="3"/>
        <item x="4"/>
        <item x="5"/>
        <item x="6"/>
      </items>
    </pivotField>
  </pivotFields>
  <rowFields count="2">
    <field x="5"/>
    <field x="1"/>
  </rowFields>
  <rowItems count="33">
    <i>
      <x/>
    </i>
    <i r="1">
      <x/>
    </i>
    <i r="1">
      <x v="1"/>
    </i>
    <i r="1">
      <x v="2"/>
    </i>
    <i r="1">
      <x v="3"/>
    </i>
    <i>
      <x v="1"/>
    </i>
    <i r="1">
      <x/>
    </i>
    <i r="1">
      <x v="1"/>
    </i>
    <i r="1">
      <x v="2"/>
    </i>
    <i r="1">
      <x v="3"/>
    </i>
    <i>
      <x v="2"/>
    </i>
    <i r="1">
      <x/>
    </i>
    <i r="1">
      <x v="1"/>
    </i>
    <i r="1">
      <x v="2"/>
    </i>
    <i r="1">
      <x v="3"/>
    </i>
    <i>
      <x v="4"/>
    </i>
    <i r="1">
      <x/>
    </i>
    <i r="1">
      <x v="1"/>
    </i>
    <i r="1">
      <x v="2"/>
    </i>
    <i>
      <x v="5"/>
    </i>
    <i r="1">
      <x v="2"/>
    </i>
    <i>
      <x v="6"/>
    </i>
    <i r="1">
      <x/>
    </i>
    <i r="1">
      <x v="1"/>
    </i>
    <i r="1">
      <x v="2"/>
    </i>
    <i r="1">
      <x v="3"/>
    </i>
    <i>
      <x v="7"/>
    </i>
    <i r="1">
      <x/>
    </i>
    <i r="1">
      <x v="1"/>
    </i>
    <i r="1">
      <x v="2"/>
    </i>
    <i>
      <x v="8"/>
    </i>
    <i r="1">
      <x v="2"/>
    </i>
    <i t="grand">
      <x/>
    </i>
  </rowItems>
  <colFields count="1">
    <field x="0"/>
  </colFields>
  <colItems count="5">
    <i>
      <x/>
    </i>
    <i>
      <x v="1"/>
    </i>
    <i>
      <x v="2"/>
    </i>
    <i>
      <x v="3"/>
    </i>
    <i t="grand">
      <x/>
    </i>
  </colItems>
  <pageFields count="1">
    <pageField fld="4"/>
  </pageFields>
  <dataFields count="1">
    <dataField name="Contagem de STATUS" fld="0" subtotal="count" showDataAs="percentOfRow" baseField="2" baseItem="0" numFmtId="10"/>
  </dataFields>
  <pivotTableStyleInfo name="PivotStyleMedium9"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ela dinâmica4" cacheId="0" autoFormatId="1" applyNumberFormats="0" applyBorderFormats="0" applyFontFormats="0" applyPatternFormats="0" applyAlignmentFormats="0" applyWidthHeightFormats="1" dataCaption="Valores" updatedVersion="8" minRefreshableVersion="3" createdVersion="5" useAutoFormatting="1" indent="0" outline="1" outlineData="1" showDrill="1" multipleFieldFilters="0" chartFormat="10">
  <location ref="AJ31:AO56" firstHeaderRow="1" firstDataRow="2" firstDataCol="1"/>
  <pivotFields count="10">
    <pivotField axis="axisCol" dataField="1" multipleItemSelectionAllowed="1" showAll="0">
      <items count="5">
        <item x="3"/>
        <item x="1"/>
        <item x="0"/>
        <item x="2"/>
        <item t="default"/>
      </items>
    </pivotField>
    <pivotField axis="axisRow" multipleItemSelectionAllowed="1" showAll="0">
      <items count="5">
        <item x="2"/>
        <item x="1"/>
        <item x="0"/>
        <item x="3"/>
        <item t="default"/>
      </items>
    </pivotField>
    <pivotField showAll="0"/>
    <pivotField showAll="0"/>
    <pivotField multipleItemSelectionAllowed="1" showAll="0">
      <items count="15">
        <item x="0"/>
        <item x="1"/>
        <item x="2"/>
        <item x="3"/>
        <item x="4"/>
        <item x="5"/>
        <item x="6"/>
        <item x="7"/>
        <item x="8"/>
        <item x="9"/>
        <item x="10"/>
        <item x="11"/>
        <item x="12"/>
        <item x="13"/>
        <item t="default"/>
      </items>
    </pivotField>
    <pivotField multipleItemSelectionAllowed="1" showAll="0"/>
    <pivotField showAll="0"/>
    <pivotField showAll="0"/>
    <pivotField defaultSubtotal="0" showAll="0">
      <items count="6">
        <item sd="0" x="0"/>
        <item sd="0" x="1"/>
        <item sd="0" x="2"/>
        <item sd="0" x="3"/>
        <item sd="0" x="4"/>
        <item x="5"/>
      </items>
    </pivotField>
    <pivotField axis="axisRow" defaultSubtotal="0" showAll="0">
      <items count="7">
        <item x="0"/>
        <item x="1"/>
        <item x="2"/>
        <item x="3"/>
        <item x="4"/>
        <item x="5"/>
        <item x="6"/>
      </items>
    </pivotField>
  </pivotFields>
  <rowFields count="2">
    <field x="9"/>
    <field x="1"/>
  </rowFields>
  <rowItems count="24">
    <i>
      <x v="1"/>
    </i>
    <i r="1">
      <x/>
    </i>
    <i r="1">
      <x v="1"/>
    </i>
    <i r="1">
      <x v="2"/>
    </i>
    <i r="1">
      <x v="3"/>
    </i>
    <i>
      <x v="2"/>
    </i>
    <i r="1">
      <x/>
    </i>
    <i r="1">
      <x v="1"/>
    </i>
    <i r="1">
      <x v="2"/>
    </i>
    <i r="1">
      <x v="3"/>
    </i>
    <i>
      <x v="3"/>
    </i>
    <i r="1">
      <x/>
    </i>
    <i r="1">
      <x v="1"/>
    </i>
    <i r="1">
      <x v="2"/>
    </i>
    <i r="1">
      <x v="3"/>
    </i>
    <i>
      <x v="4"/>
    </i>
    <i r="1">
      <x v="1"/>
    </i>
    <i r="1">
      <x v="2"/>
    </i>
    <i>
      <x v="5"/>
    </i>
    <i r="1">
      <x/>
    </i>
    <i r="1">
      <x v="1"/>
    </i>
    <i r="1">
      <x v="2"/>
    </i>
    <i r="1">
      <x v="3"/>
    </i>
    <i t="grand">
      <x/>
    </i>
  </rowItems>
  <colFields count="1">
    <field x="0"/>
  </colFields>
  <colItems count="5">
    <i>
      <x/>
    </i>
    <i>
      <x v="1"/>
    </i>
    <i>
      <x v="2"/>
    </i>
    <i>
      <x v="3"/>
    </i>
    <i t="grand">
      <x/>
    </i>
  </colItems>
  <dataFields count="1">
    <dataField name="Contagem de STATUS" fld="0" subtotal="count" showDataAs="percentOfRow" baseField="0" baseItem="1" numFmtId="9"/>
  </dataFields>
  <pivotTableStyleInfo name="PivotStyleMedium9"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ela1" displayName="Tabela1" ref="A8:H233" totalsRowShown="0">
  <autoFilter xmlns:etc="http://www.wps.cn/officeDocument/2017/etCustomData" ref="A8:H233" etc:filterBottomFollowUsedRange="0">
    <filterColumn colId="0">
      <customFilters>
        <customFilter operator="equal" val="EM ANDAMENTO"/>
      </customFilters>
    </filterColumn>
    <filterColumn colId="4">
      <filters>
        <dateGroupItem year="2023" month="11" dateTimeGrouping="month"/>
        <dateGroupItem year="2023" month="12" dateTimeGrouping="month"/>
      </filters>
    </filterColumn>
  </autoFilter>
  <sortState ref="A8:H233">
    <sortCondition ref="E8:E233"/>
  </sortState>
  <tableColumns count="8">
    <tableColumn id="1" name="STATUS" dataDxfId="0"/>
    <tableColumn id="2" name="ÁREA" dataDxfId="1"/>
    <tableColumn id="5" name="MACRO META - DESCRIÇÃO" dataDxfId="2"/>
    <tableColumn id="9" name="MICRO META - DESCRIÇÃO" dataDxfId="3"/>
    <tableColumn id="4" name="DATA" dataDxfId="4"/>
    <tableColumn id="6" name="PRAZO" dataDxfId="5"/>
    <tableColumn id="7" name="COMO" dataDxfId="6"/>
    <tableColumn id="8" name="INDICADOR" dataDxfId="7"/>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5" Type="http://schemas.openxmlformats.org/officeDocument/2006/relationships/drawing" Target="../drawings/drawing1.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233"/>
  <sheetViews>
    <sheetView tabSelected="1" workbookViewId="0">
      <selection activeCell="C112" sqref="C112"/>
    </sheetView>
  </sheetViews>
  <sheetFormatPr defaultColWidth="9" defaultRowHeight="11.25"/>
  <cols>
    <col min="1" max="1" width="11.7142857142857" style="68" customWidth="1"/>
    <col min="2" max="2" width="9.71428571428571" style="68" customWidth="1"/>
    <col min="3" max="3" width="61.7142857142857" style="68" customWidth="1"/>
    <col min="4" max="4" width="64.7142857142857" style="68" customWidth="1"/>
    <col min="5" max="5" width="9.28571428571429" style="69" customWidth="1"/>
    <col min="6" max="6" width="7.71428571428571" style="70" customWidth="1"/>
    <col min="7" max="7" width="67.5714285714286" style="70" customWidth="1"/>
    <col min="8" max="8" width="50.7142857142857" style="70" customWidth="1"/>
    <col min="9" max="16384" width="9.14285714285714" style="68"/>
  </cols>
  <sheetData>
    <row r="1" spans="3:5">
      <c r="C1" s="68" t="s">
        <v>0</v>
      </c>
      <c r="D1" s="69"/>
      <c r="E1" s="70"/>
    </row>
    <row r="2" spans="1:16383">
      <c r="A2" s="68" t="s">
        <v>1</v>
      </c>
      <c r="B2" s="68" t="s">
        <v>2</v>
      </c>
      <c r="C2" s="68" t="s">
        <v>3</v>
      </c>
      <c r="D2" s="69" t="s">
        <v>4</v>
      </c>
      <c r="E2" s="71">
        <v>46386</v>
      </c>
      <c r="XFC2" s="68" t="s">
        <v>5</v>
      </c>
    </row>
    <row r="3" spans="1:16383">
      <c r="A3" s="68" t="s">
        <v>6</v>
      </c>
      <c r="B3" s="68" t="s">
        <v>7</v>
      </c>
      <c r="C3" s="68" t="s">
        <v>8</v>
      </c>
      <c r="D3" s="69" t="s">
        <v>9</v>
      </c>
      <c r="E3" s="71" t="s">
        <v>10</v>
      </c>
      <c r="F3" s="71"/>
      <c r="XFC3" s="68" t="s">
        <v>11</v>
      </c>
    </row>
    <row r="4" spans="1:16383">
      <c r="A4" s="68" t="s">
        <v>12</v>
      </c>
      <c r="B4" s="68" t="s">
        <v>13</v>
      </c>
      <c r="C4" s="68" t="s">
        <v>14</v>
      </c>
      <c r="D4" s="69" t="s">
        <v>15</v>
      </c>
      <c r="E4" s="71">
        <v>45290</v>
      </c>
      <c r="XFC4" s="68" t="s">
        <v>16</v>
      </c>
    </row>
    <row r="5" spans="1:16383">
      <c r="A5" s="68" t="s">
        <v>17</v>
      </c>
      <c r="B5" s="68" t="s">
        <v>18</v>
      </c>
      <c r="C5" s="68" t="s">
        <v>19</v>
      </c>
      <c r="D5" s="69" t="s">
        <v>20</v>
      </c>
      <c r="E5" s="70"/>
      <c r="XFC5" s="68" t="s">
        <v>21</v>
      </c>
    </row>
    <row r="6" spans="3:16383">
      <c r="C6" s="68" t="s">
        <v>22</v>
      </c>
      <c r="D6" s="69" t="s">
        <v>23</v>
      </c>
      <c r="E6" s="70"/>
      <c r="XFC6" s="68" t="s">
        <v>24</v>
      </c>
    </row>
    <row r="7" spans="16383:16383">
      <c r="XFC7" s="68" t="s">
        <v>25</v>
      </c>
    </row>
    <row r="8" spans="1:16383">
      <c r="A8" s="68" t="s">
        <v>26</v>
      </c>
      <c r="B8" s="68" t="s">
        <v>27</v>
      </c>
      <c r="C8" s="68" t="s">
        <v>28</v>
      </c>
      <c r="D8" s="68" t="s">
        <v>29</v>
      </c>
      <c r="E8" s="69" t="s">
        <v>30</v>
      </c>
      <c r="F8" s="70" t="s">
        <v>31</v>
      </c>
      <c r="G8" s="70" t="s">
        <v>32</v>
      </c>
      <c r="H8" s="70" t="s">
        <v>33</v>
      </c>
      <c r="XFC8" s="68" t="s">
        <v>34</v>
      </c>
    </row>
    <row r="9" hidden="1" spans="1:16383">
      <c r="A9" s="68" t="s">
        <v>6</v>
      </c>
      <c r="B9" s="68" t="s">
        <v>2</v>
      </c>
      <c r="C9" s="68" t="s">
        <v>35</v>
      </c>
      <c r="D9" s="68" t="s">
        <v>35</v>
      </c>
      <c r="E9" s="69">
        <v>44713</v>
      </c>
      <c r="F9" s="68" t="s">
        <v>24</v>
      </c>
      <c r="G9" s="68" t="s">
        <v>36</v>
      </c>
      <c r="H9" s="68" t="s">
        <v>37</v>
      </c>
      <c r="XFC9" s="68" t="s">
        <v>38</v>
      </c>
    </row>
    <row r="10" hidden="1" spans="1:8">
      <c r="A10" s="68" t="s">
        <v>6</v>
      </c>
      <c r="B10" s="68" t="s">
        <v>2</v>
      </c>
      <c r="C10" s="68" t="s">
        <v>39</v>
      </c>
      <c r="D10" s="68" t="s">
        <v>39</v>
      </c>
      <c r="E10" s="69">
        <v>44713</v>
      </c>
      <c r="F10" s="68" t="s">
        <v>24</v>
      </c>
      <c r="G10" s="68" t="s">
        <v>40</v>
      </c>
      <c r="H10" s="68" t="s">
        <v>37</v>
      </c>
    </row>
    <row r="11" hidden="1" spans="1:8">
      <c r="A11" s="68" t="s">
        <v>6</v>
      </c>
      <c r="B11" s="68" t="s">
        <v>2</v>
      </c>
      <c r="C11" s="68" t="s">
        <v>39</v>
      </c>
      <c r="D11" s="68" t="s">
        <v>39</v>
      </c>
      <c r="E11" s="69">
        <v>44713</v>
      </c>
      <c r="F11" s="68" t="s">
        <v>24</v>
      </c>
      <c r="G11" s="68" t="s">
        <v>41</v>
      </c>
      <c r="H11" s="68" t="s">
        <v>37</v>
      </c>
    </row>
    <row r="12" hidden="1" spans="1:8">
      <c r="A12" s="68" t="s">
        <v>6</v>
      </c>
      <c r="B12" s="68" t="s">
        <v>2</v>
      </c>
      <c r="C12" s="68" t="s">
        <v>42</v>
      </c>
      <c r="D12" s="68" t="s">
        <v>42</v>
      </c>
      <c r="E12" s="69">
        <v>44713</v>
      </c>
      <c r="F12" s="68" t="s">
        <v>24</v>
      </c>
      <c r="G12" s="68" t="s">
        <v>43</v>
      </c>
      <c r="H12" s="68" t="s">
        <v>37</v>
      </c>
    </row>
    <row r="13" hidden="1" spans="1:8">
      <c r="A13" s="68" t="s">
        <v>6</v>
      </c>
      <c r="B13" s="68" t="s">
        <v>2</v>
      </c>
      <c r="C13" s="68" t="s">
        <v>35</v>
      </c>
      <c r="D13" s="68" t="s">
        <v>35</v>
      </c>
      <c r="E13" s="69">
        <v>44713</v>
      </c>
      <c r="F13" s="68" t="s">
        <v>21</v>
      </c>
      <c r="G13" s="68" t="s">
        <v>44</v>
      </c>
      <c r="H13" s="68" t="s">
        <v>37</v>
      </c>
    </row>
    <row r="14" hidden="1" spans="1:8">
      <c r="A14" s="68" t="s">
        <v>6</v>
      </c>
      <c r="B14" s="68" t="s">
        <v>2</v>
      </c>
      <c r="C14" s="68" t="s">
        <v>39</v>
      </c>
      <c r="D14" s="68" t="s">
        <v>39</v>
      </c>
      <c r="E14" s="69">
        <v>44713</v>
      </c>
      <c r="F14" s="68" t="s">
        <v>21</v>
      </c>
      <c r="G14" s="68" t="s">
        <v>45</v>
      </c>
      <c r="H14" s="68" t="s">
        <v>37</v>
      </c>
    </row>
    <row r="15" hidden="1" spans="1:8">
      <c r="A15" s="68" t="s">
        <v>6</v>
      </c>
      <c r="B15" s="68" t="s">
        <v>2</v>
      </c>
      <c r="C15" s="68" t="s">
        <v>39</v>
      </c>
      <c r="D15" s="68" t="s">
        <v>39</v>
      </c>
      <c r="E15" s="69">
        <v>44713</v>
      </c>
      <c r="F15" s="68" t="s">
        <v>21</v>
      </c>
      <c r="G15" s="68" t="s">
        <v>46</v>
      </c>
      <c r="H15" s="68" t="s">
        <v>37</v>
      </c>
    </row>
    <row r="16" hidden="1" spans="1:8">
      <c r="A16" s="68" t="s">
        <v>6</v>
      </c>
      <c r="B16" s="68" t="s">
        <v>2</v>
      </c>
      <c r="C16" s="68" t="s">
        <v>42</v>
      </c>
      <c r="D16" s="68" t="s">
        <v>42</v>
      </c>
      <c r="E16" s="69">
        <v>44713</v>
      </c>
      <c r="F16" s="68" t="s">
        <v>21</v>
      </c>
      <c r="G16" s="68" t="s">
        <v>47</v>
      </c>
      <c r="H16" s="68" t="s">
        <v>37</v>
      </c>
    </row>
    <row r="17" hidden="1" spans="1:8">
      <c r="A17" s="68" t="s">
        <v>1</v>
      </c>
      <c r="B17" s="68" t="s">
        <v>13</v>
      </c>
      <c r="C17" s="68" t="s">
        <v>48</v>
      </c>
      <c r="D17" s="68" t="s">
        <v>48</v>
      </c>
      <c r="E17" s="69">
        <v>44713</v>
      </c>
      <c r="F17" s="68" t="s">
        <v>24</v>
      </c>
      <c r="G17" s="68" t="s">
        <v>49</v>
      </c>
      <c r="H17" s="68" t="s">
        <v>50</v>
      </c>
    </row>
    <row r="18" hidden="1" spans="1:8">
      <c r="A18" s="68" t="s">
        <v>6</v>
      </c>
      <c r="B18" s="68" t="s">
        <v>13</v>
      </c>
      <c r="C18" s="68" t="s">
        <v>51</v>
      </c>
      <c r="D18" s="68" t="s">
        <v>51</v>
      </c>
      <c r="E18" s="69">
        <v>44713</v>
      </c>
      <c r="F18" s="68" t="s">
        <v>24</v>
      </c>
      <c r="G18" s="68" t="s">
        <v>52</v>
      </c>
      <c r="H18" s="68" t="s">
        <v>53</v>
      </c>
    </row>
    <row r="19" hidden="1" spans="1:8">
      <c r="A19" s="68" t="s">
        <v>6</v>
      </c>
      <c r="B19" s="68" t="s">
        <v>13</v>
      </c>
      <c r="C19" s="68" t="s">
        <v>54</v>
      </c>
      <c r="D19" s="68" t="s">
        <v>54</v>
      </c>
      <c r="E19" s="69">
        <v>44713</v>
      </c>
      <c r="F19" s="68" t="s">
        <v>24</v>
      </c>
      <c r="G19" s="68" t="s">
        <v>55</v>
      </c>
      <c r="H19" s="68" t="s">
        <v>56</v>
      </c>
    </row>
    <row r="20" hidden="1" spans="1:8">
      <c r="A20" s="68" t="s">
        <v>6</v>
      </c>
      <c r="B20" s="68" t="s">
        <v>13</v>
      </c>
      <c r="C20" s="68" t="s">
        <v>57</v>
      </c>
      <c r="D20" s="68" t="s">
        <v>57</v>
      </c>
      <c r="E20" s="69">
        <v>44713</v>
      </c>
      <c r="F20" s="68" t="s">
        <v>24</v>
      </c>
      <c r="G20" s="68" t="s">
        <v>58</v>
      </c>
      <c r="H20" s="68" t="s">
        <v>59</v>
      </c>
    </row>
    <row r="21" hidden="1" spans="1:8">
      <c r="A21" s="68" t="s">
        <v>6</v>
      </c>
      <c r="B21" s="68" t="s">
        <v>13</v>
      </c>
      <c r="C21" s="68" t="s">
        <v>60</v>
      </c>
      <c r="D21" s="68" t="s">
        <v>60</v>
      </c>
      <c r="E21" s="69">
        <v>44713</v>
      </c>
      <c r="F21" s="68" t="s">
        <v>24</v>
      </c>
      <c r="G21" s="68" t="s">
        <v>61</v>
      </c>
      <c r="H21" s="68" t="s">
        <v>56</v>
      </c>
    </row>
    <row r="22" hidden="1" spans="1:8">
      <c r="A22" s="68" t="s">
        <v>6</v>
      </c>
      <c r="B22" s="68" t="s">
        <v>13</v>
      </c>
      <c r="C22" s="68" t="s">
        <v>62</v>
      </c>
      <c r="D22" s="68" t="s">
        <v>62</v>
      </c>
      <c r="E22" s="69">
        <v>44713</v>
      </c>
      <c r="F22" s="68" t="s">
        <v>24</v>
      </c>
      <c r="G22" s="68" t="s">
        <v>63</v>
      </c>
      <c r="H22" s="68" t="s">
        <v>64</v>
      </c>
    </row>
    <row r="23" hidden="1" spans="1:8">
      <c r="A23" s="68" t="s">
        <v>6</v>
      </c>
      <c r="B23" s="68" t="s">
        <v>13</v>
      </c>
      <c r="C23" s="68" t="s">
        <v>65</v>
      </c>
      <c r="D23" s="68" t="s">
        <v>65</v>
      </c>
      <c r="E23" s="69">
        <v>44713</v>
      </c>
      <c r="F23" s="68" t="s">
        <v>24</v>
      </c>
      <c r="G23" s="68" t="s">
        <v>66</v>
      </c>
      <c r="H23" s="68" t="s">
        <v>67</v>
      </c>
    </row>
    <row r="24" hidden="1" spans="1:8">
      <c r="A24" s="68" t="s">
        <v>6</v>
      </c>
      <c r="B24" s="68" t="s">
        <v>13</v>
      </c>
      <c r="C24" s="68" t="s">
        <v>68</v>
      </c>
      <c r="D24" s="68" t="s">
        <v>68</v>
      </c>
      <c r="E24" s="69">
        <v>44713</v>
      </c>
      <c r="F24" s="68" t="s">
        <v>21</v>
      </c>
      <c r="G24" s="68" t="s">
        <v>63</v>
      </c>
      <c r="H24" s="68" t="s">
        <v>64</v>
      </c>
    </row>
    <row r="25" hidden="1" spans="1:8">
      <c r="A25" s="68" t="s">
        <v>6</v>
      </c>
      <c r="B25" s="68" t="s">
        <v>13</v>
      </c>
      <c r="C25" s="68" t="s">
        <v>69</v>
      </c>
      <c r="D25" s="68" t="s">
        <v>69</v>
      </c>
      <c r="E25" s="69">
        <v>44713</v>
      </c>
      <c r="F25" s="68" t="s">
        <v>21</v>
      </c>
      <c r="G25" s="68" t="s">
        <v>70</v>
      </c>
      <c r="H25" s="68" t="s">
        <v>53</v>
      </c>
    </row>
    <row r="26" hidden="1" spans="1:8">
      <c r="A26" s="68" t="s">
        <v>6</v>
      </c>
      <c r="B26" s="68" t="s">
        <v>13</v>
      </c>
      <c r="C26" s="68" t="s">
        <v>71</v>
      </c>
      <c r="D26" s="68" t="s">
        <v>71</v>
      </c>
      <c r="E26" s="69">
        <v>44713</v>
      </c>
      <c r="F26" s="68" t="s">
        <v>21</v>
      </c>
      <c r="G26" s="68" t="s">
        <v>58</v>
      </c>
      <c r="H26" s="68" t="s">
        <v>59</v>
      </c>
    </row>
    <row r="27" hidden="1" spans="1:8">
      <c r="A27" s="68" t="s">
        <v>6</v>
      </c>
      <c r="B27" s="68" t="s">
        <v>13</v>
      </c>
      <c r="C27" s="68" t="s">
        <v>72</v>
      </c>
      <c r="D27" s="68" t="s">
        <v>72</v>
      </c>
      <c r="E27" s="69">
        <v>44713</v>
      </c>
      <c r="F27" s="68" t="s">
        <v>21</v>
      </c>
      <c r="G27" s="68" t="s">
        <v>73</v>
      </c>
      <c r="H27" s="68" t="s">
        <v>74</v>
      </c>
    </row>
    <row r="28" hidden="1" spans="1:8">
      <c r="A28" s="68" t="s">
        <v>1</v>
      </c>
      <c r="B28" s="68" t="s">
        <v>7</v>
      </c>
      <c r="C28" s="68" t="s">
        <v>75</v>
      </c>
      <c r="D28" s="68" t="s">
        <v>75</v>
      </c>
      <c r="E28" s="69">
        <v>44713</v>
      </c>
      <c r="F28" s="68" t="s">
        <v>24</v>
      </c>
      <c r="G28" s="68" t="s">
        <v>76</v>
      </c>
      <c r="H28" s="68" t="s">
        <v>77</v>
      </c>
    </row>
    <row r="29" hidden="1" spans="1:8">
      <c r="A29" s="68" t="s">
        <v>6</v>
      </c>
      <c r="B29" s="68" t="s">
        <v>7</v>
      </c>
      <c r="C29" s="68" t="s">
        <v>78</v>
      </c>
      <c r="D29" s="68" t="s">
        <v>78</v>
      </c>
      <c r="E29" s="69">
        <v>44713</v>
      </c>
      <c r="F29" s="68" t="s">
        <v>24</v>
      </c>
      <c r="G29" s="68" t="s">
        <v>79</v>
      </c>
      <c r="H29" s="68" t="s">
        <v>80</v>
      </c>
    </row>
    <row r="30" hidden="1" spans="1:8">
      <c r="A30" s="68" t="s">
        <v>6</v>
      </c>
      <c r="B30" s="68" t="s">
        <v>7</v>
      </c>
      <c r="C30" s="68" t="s">
        <v>81</v>
      </c>
      <c r="D30" s="68" t="s">
        <v>81</v>
      </c>
      <c r="E30" s="69">
        <v>44713</v>
      </c>
      <c r="F30" s="68" t="s">
        <v>24</v>
      </c>
      <c r="G30" s="68" t="s">
        <v>79</v>
      </c>
      <c r="H30" s="68" t="s">
        <v>80</v>
      </c>
    </row>
    <row r="31" hidden="1" spans="1:8">
      <c r="A31" s="68" t="s">
        <v>1</v>
      </c>
      <c r="B31" s="68" t="s">
        <v>7</v>
      </c>
      <c r="C31" s="68" t="s">
        <v>82</v>
      </c>
      <c r="D31" s="68" t="s">
        <v>82</v>
      </c>
      <c r="E31" s="69">
        <v>44713</v>
      </c>
      <c r="F31" s="68" t="s">
        <v>24</v>
      </c>
      <c r="G31" s="68" t="s">
        <v>83</v>
      </c>
      <c r="H31" s="68" t="s">
        <v>84</v>
      </c>
    </row>
    <row r="32" hidden="1" spans="1:8">
      <c r="A32" s="68" t="s">
        <v>1</v>
      </c>
      <c r="B32" s="68" t="s">
        <v>7</v>
      </c>
      <c r="C32" s="68" t="s">
        <v>75</v>
      </c>
      <c r="D32" s="68" t="s">
        <v>75</v>
      </c>
      <c r="E32" s="69">
        <v>44713</v>
      </c>
      <c r="F32" s="68" t="s">
        <v>21</v>
      </c>
      <c r="G32" s="68" t="s">
        <v>76</v>
      </c>
      <c r="H32" s="68" t="s">
        <v>77</v>
      </c>
    </row>
    <row r="33" hidden="1" spans="1:8">
      <c r="A33" s="68" t="s">
        <v>6</v>
      </c>
      <c r="B33" s="68" t="s">
        <v>7</v>
      </c>
      <c r="C33" s="68" t="s">
        <v>82</v>
      </c>
      <c r="D33" s="68" t="s">
        <v>82</v>
      </c>
      <c r="E33" s="69">
        <v>44713</v>
      </c>
      <c r="F33" s="68" t="s">
        <v>21</v>
      </c>
      <c r="G33" s="68" t="s">
        <v>83</v>
      </c>
      <c r="H33" s="68" t="s">
        <v>84</v>
      </c>
    </row>
    <row r="34" hidden="1" spans="1:8">
      <c r="A34" s="68" t="s">
        <v>1</v>
      </c>
      <c r="B34" s="68" t="s">
        <v>7</v>
      </c>
      <c r="C34" s="68" t="s">
        <v>85</v>
      </c>
      <c r="D34" s="68" t="s">
        <v>85</v>
      </c>
      <c r="E34" s="69">
        <v>44713</v>
      </c>
      <c r="F34" s="68" t="s">
        <v>21</v>
      </c>
      <c r="G34" s="68" t="s">
        <v>86</v>
      </c>
      <c r="H34" s="68" t="s">
        <v>80</v>
      </c>
    </row>
    <row r="35" hidden="1" spans="1:8">
      <c r="A35" s="68" t="s">
        <v>1</v>
      </c>
      <c r="B35" s="68" t="s">
        <v>7</v>
      </c>
      <c r="C35" s="68" t="s">
        <v>85</v>
      </c>
      <c r="D35" s="68" t="s">
        <v>85</v>
      </c>
      <c r="E35" s="69">
        <v>44713</v>
      </c>
      <c r="F35" s="68" t="s">
        <v>21</v>
      </c>
      <c r="G35" s="68" t="s">
        <v>87</v>
      </c>
      <c r="H35" s="68" t="s">
        <v>88</v>
      </c>
    </row>
    <row r="36" hidden="1" spans="1:8">
      <c r="A36" s="68" t="s">
        <v>1</v>
      </c>
      <c r="B36" s="68" t="s">
        <v>7</v>
      </c>
      <c r="C36" s="68" t="s">
        <v>85</v>
      </c>
      <c r="D36" s="68" t="s">
        <v>85</v>
      </c>
      <c r="E36" s="69">
        <v>44713</v>
      </c>
      <c r="F36" s="68" t="s">
        <v>21</v>
      </c>
      <c r="G36" s="68" t="s">
        <v>89</v>
      </c>
      <c r="H36" s="68" t="s">
        <v>90</v>
      </c>
    </row>
    <row r="37" hidden="1" spans="1:8">
      <c r="A37" s="68" t="s">
        <v>1</v>
      </c>
      <c r="B37" s="68" t="s">
        <v>2</v>
      </c>
      <c r="C37" s="68" t="s">
        <v>35</v>
      </c>
      <c r="D37" s="68" t="s">
        <v>35</v>
      </c>
      <c r="E37" s="69">
        <v>44896</v>
      </c>
      <c r="F37" s="68" t="s">
        <v>16</v>
      </c>
      <c r="G37" s="68" t="s">
        <v>91</v>
      </c>
      <c r="H37" s="68" t="s">
        <v>92</v>
      </c>
    </row>
    <row r="38" hidden="1" spans="1:8">
      <c r="A38" s="68" t="s">
        <v>1</v>
      </c>
      <c r="B38" s="68" t="s">
        <v>13</v>
      </c>
      <c r="C38" s="68" t="s">
        <v>93</v>
      </c>
      <c r="D38" s="68" t="s">
        <v>93</v>
      </c>
      <c r="E38" s="69">
        <v>44896</v>
      </c>
      <c r="F38" s="68" t="s">
        <v>16</v>
      </c>
      <c r="G38" s="68" t="s">
        <v>94</v>
      </c>
      <c r="H38" s="68" t="s">
        <v>95</v>
      </c>
    </row>
    <row r="39" hidden="1" spans="1:8">
      <c r="A39" s="68" t="s">
        <v>1</v>
      </c>
      <c r="B39" s="68" t="s">
        <v>7</v>
      </c>
      <c r="C39" s="68" t="s">
        <v>96</v>
      </c>
      <c r="D39" s="68" t="s">
        <v>96</v>
      </c>
      <c r="E39" s="69">
        <v>44896</v>
      </c>
      <c r="F39" s="68" t="s">
        <v>16</v>
      </c>
      <c r="G39" s="68" t="s">
        <v>97</v>
      </c>
      <c r="H39" s="68" t="s">
        <v>98</v>
      </c>
    </row>
    <row r="40" hidden="1" spans="1:8">
      <c r="A40" s="68" t="s">
        <v>6</v>
      </c>
      <c r="B40" s="68" t="s">
        <v>7</v>
      </c>
      <c r="C40" s="68" t="s">
        <v>78</v>
      </c>
      <c r="D40" s="68" t="s">
        <v>78</v>
      </c>
      <c r="E40" s="69">
        <v>44896</v>
      </c>
      <c r="F40" s="68" t="s">
        <v>16</v>
      </c>
      <c r="G40" s="68" t="s">
        <v>99</v>
      </c>
      <c r="H40" s="68" t="s">
        <v>80</v>
      </c>
    </row>
    <row r="41" hidden="1" spans="1:8">
      <c r="A41" s="68" t="s">
        <v>6</v>
      </c>
      <c r="B41" s="68" t="s">
        <v>7</v>
      </c>
      <c r="C41" s="68" t="s">
        <v>81</v>
      </c>
      <c r="D41" s="68" t="s">
        <v>81</v>
      </c>
      <c r="E41" s="69">
        <v>44896</v>
      </c>
      <c r="F41" s="68" t="s">
        <v>16</v>
      </c>
      <c r="G41" s="68" t="s">
        <v>99</v>
      </c>
      <c r="H41" s="68" t="s">
        <v>80</v>
      </c>
    </row>
    <row r="42" hidden="1" spans="1:8">
      <c r="A42" s="68" t="s">
        <v>1</v>
      </c>
      <c r="B42" s="68" t="s">
        <v>18</v>
      </c>
      <c r="C42" s="68" t="s">
        <v>100</v>
      </c>
      <c r="D42" s="68" t="s">
        <v>100</v>
      </c>
      <c r="E42" s="69">
        <v>44896</v>
      </c>
      <c r="F42" s="68" t="s">
        <v>16</v>
      </c>
      <c r="G42" s="68" t="s">
        <v>101</v>
      </c>
      <c r="H42" s="68" t="s">
        <v>95</v>
      </c>
    </row>
    <row r="43" ht="22.5" hidden="1" spans="1:8">
      <c r="A43" s="72" t="s">
        <v>1</v>
      </c>
      <c r="B43" s="72" t="s">
        <v>2</v>
      </c>
      <c r="C43" s="68" t="s">
        <v>102</v>
      </c>
      <c r="D43" s="70" t="s">
        <v>103</v>
      </c>
      <c r="E43" s="73">
        <v>44975</v>
      </c>
      <c r="F43" s="72" t="s">
        <v>34</v>
      </c>
      <c r="G43" s="70" t="s">
        <v>104</v>
      </c>
      <c r="H43" s="74" t="s">
        <v>105</v>
      </c>
    </row>
    <row r="44" hidden="1" spans="1:8">
      <c r="A44" s="72" t="s">
        <v>1</v>
      </c>
      <c r="B44" s="72" t="s">
        <v>2</v>
      </c>
      <c r="C44" s="68" t="s">
        <v>102</v>
      </c>
      <c r="D44" s="70" t="s">
        <v>103</v>
      </c>
      <c r="E44" s="73">
        <v>44975</v>
      </c>
      <c r="F44" s="72" t="s">
        <v>34</v>
      </c>
      <c r="G44" s="70" t="s">
        <v>106</v>
      </c>
      <c r="H44" s="74" t="s">
        <v>105</v>
      </c>
    </row>
    <row r="45" hidden="1" spans="1:8">
      <c r="A45" s="72" t="s">
        <v>1</v>
      </c>
      <c r="B45" s="72" t="s">
        <v>2</v>
      </c>
      <c r="C45" s="68" t="s">
        <v>102</v>
      </c>
      <c r="D45" s="74" t="s">
        <v>107</v>
      </c>
      <c r="E45" s="73">
        <v>44975</v>
      </c>
      <c r="F45" s="72" t="s">
        <v>34</v>
      </c>
      <c r="G45" s="74" t="s">
        <v>108</v>
      </c>
      <c r="H45" s="74" t="s">
        <v>109</v>
      </c>
    </row>
    <row r="46" hidden="1" spans="1:8">
      <c r="A46" s="72" t="s">
        <v>1</v>
      </c>
      <c r="B46" s="72" t="s">
        <v>2</v>
      </c>
      <c r="C46" s="68" t="s">
        <v>102</v>
      </c>
      <c r="D46" s="70" t="s">
        <v>110</v>
      </c>
      <c r="E46" s="73">
        <v>44975</v>
      </c>
      <c r="F46" s="72" t="s">
        <v>34</v>
      </c>
      <c r="G46" s="70" t="s">
        <v>111</v>
      </c>
      <c r="H46" s="70" t="s">
        <v>112</v>
      </c>
    </row>
    <row r="47" hidden="1" spans="1:8">
      <c r="A47" s="72" t="s">
        <v>1</v>
      </c>
      <c r="B47" s="72" t="s">
        <v>13</v>
      </c>
      <c r="C47" s="74" t="s">
        <v>113</v>
      </c>
      <c r="D47" s="74" t="s">
        <v>113</v>
      </c>
      <c r="E47" s="73">
        <v>44975</v>
      </c>
      <c r="F47" s="72" t="s">
        <v>34</v>
      </c>
      <c r="G47" s="74" t="s">
        <v>114</v>
      </c>
      <c r="H47" s="74" t="s">
        <v>115</v>
      </c>
    </row>
    <row r="48" hidden="1" spans="1:8">
      <c r="A48" s="72" t="s">
        <v>1</v>
      </c>
      <c r="B48" s="72" t="s">
        <v>13</v>
      </c>
      <c r="C48" s="74" t="s">
        <v>116</v>
      </c>
      <c r="D48" s="74" t="s">
        <v>116</v>
      </c>
      <c r="E48" s="73">
        <v>44975</v>
      </c>
      <c r="F48" s="72" t="s">
        <v>34</v>
      </c>
      <c r="G48" s="74" t="s">
        <v>117</v>
      </c>
      <c r="H48" s="74" t="s">
        <v>118</v>
      </c>
    </row>
    <row r="49" hidden="1" spans="1:8">
      <c r="A49" s="72" t="s">
        <v>6</v>
      </c>
      <c r="B49" s="72" t="s">
        <v>13</v>
      </c>
      <c r="C49" s="70" t="s">
        <v>119</v>
      </c>
      <c r="D49" s="70" t="s">
        <v>119</v>
      </c>
      <c r="E49" s="73">
        <v>44975</v>
      </c>
      <c r="F49" s="72" t="s">
        <v>34</v>
      </c>
      <c r="G49" s="74" t="s">
        <v>120</v>
      </c>
      <c r="H49" s="74" t="s">
        <v>121</v>
      </c>
    </row>
    <row r="50" hidden="1" spans="1:8">
      <c r="A50" s="72" t="s">
        <v>1</v>
      </c>
      <c r="B50" s="72" t="s">
        <v>13</v>
      </c>
      <c r="C50" s="70" t="s">
        <v>122</v>
      </c>
      <c r="D50" s="70" t="s">
        <v>122</v>
      </c>
      <c r="E50" s="73">
        <v>44975</v>
      </c>
      <c r="F50" s="72" t="s">
        <v>34</v>
      </c>
      <c r="G50" s="70" t="s">
        <v>123</v>
      </c>
      <c r="H50" s="70" t="s">
        <v>124</v>
      </c>
    </row>
    <row r="51" hidden="1" spans="1:8">
      <c r="A51" s="72" t="s">
        <v>6</v>
      </c>
      <c r="B51" s="72" t="s">
        <v>13</v>
      </c>
      <c r="C51" s="70" t="s">
        <v>125</v>
      </c>
      <c r="D51" s="70" t="s">
        <v>125</v>
      </c>
      <c r="E51" s="73">
        <v>44975</v>
      </c>
      <c r="F51" s="72" t="s">
        <v>34</v>
      </c>
      <c r="G51" s="70" t="s">
        <v>126</v>
      </c>
      <c r="H51" s="70" t="s">
        <v>127</v>
      </c>
    </row>
    <row r="52" ht="22.5" hidden="1" spans="1:8">
      <c r="A52" s="72" t="s">
        <v>6</v>
      </c>
      <c r="B52" s="72" t="s">
        <v>13</v>
      </c>
      <c r="C52" s="70" t="s">
        <v>128</v>
      </c>
      <c r="D52" s="70" t="s">
        <v>128</v>
      </c>
      <c r="E52" s="73">
        <v>44975</v>
      </c>
      <c r="F52" s="72" t="s">
        <v>34</v>
      </c>
      <c r="G52" s="74" t="s">
        <v>129</v>
      </c>
      <c r="H52" s="74" t="s">
        <v>130</v>
      </c>
    </row>
    <row r="53" hidden="1" spans="1:8">
      <c r="A53" s="72" t="s">
        <v>1</v>
      </c>
      <c r="B53" s="72" t="s">
        <v>7</v>
      </c>
      <c r="C53" s="74" t="s">
        <v>131</v>
      </c>
      <c r="D53" s="74" t="s">
        <v>131</v>
      </c>
      <c r="E53" s="73">
        <v>44975</v>
      </c>
      <c r="F53" s="72" t="s">
        <v>34</v>
      </c>
      <c r="G53" s="74" t="s">
        <v>132</v>
      </c>
      <c r="H53" s="74" t="s">
        <v>133</v>
      </c>
    </row>
    <row r="54" hidden="1" spans="1:8">
      <c r="A54" s="72" t="s">
        <v>1</v>
      </c>
      <c r="B54" s="72" t="s">
        <v>2</v>
      </c>
      <c r="C54" s="68" t="s">
        <v>102</v>
      </c>
      <c r="D54" s="74" t="s">
        <v>134</v>
      </c>
      <c r="E54" s="73">
        <v>44985</v>
      </c>
      <c r="F54" s="72" t="s">
        <v>21</v>
      </c>
      <c r="G54" s="70" t="s">
        <v>135</v>
      </c>
      <c r="H54" s="70" t="s">
        <v>136</v>
      </c>
    </row>
    <row r="55" hidden="1" spans="1:8">
      <c r="A55" s="72" t="s">
        <v>1</v>
      </c>
      <c r="B55" s="72" t="s">
        <v>2</v>
      </c>
      <c r="C55" s="68" t="s">
        <v>102</v>
      </c>
      <c r="D55" s="74" t="s">
        <v>134</v>
      </c>
      <c r="E55" s="73">
        <v>44985</v>
      </c>
      <c r="F55" s="72" t="s">
        <v>21</v>
      </c>
      <c r="G55" s="70" t="s">
        <v>137</v>
      </c>
      <c r="H55" s="70" t="s">
        <v>138</v>
      </c>
    </row>
    <row r="56" ht="22.5" hidden="1" spans="1:8">
      <c r="A56" s="72" t="s">
        <v>6</v>
      </c>
      <c r="B56" s="72" t="s">
        <v>2</v>
      </c>
      <c r="C56" s="68" t="s">
        <v>102</v>
      </c>
      <c r="D56" s="68" t="s">
        <v>139</v>
      </c>
      <c r="E56" s="73">
        <v>44985</v>
      </c>
      <c r="F56" s="72" t="s">
        <v>21</v>
      </c>
      <c r="G56" s="70" t="s">
        <v>140</v>
      </c>
      <c r="H56" s="74" t="s">
        <v>141</v>
      </c>
    </row>
    <row r="57" hidden="1" spans="1:8">
      <c r="A57" s="72" t="s">
        <v>6</v>
      </c>
      <c r="B57" s="72" t="s">
        <v>2</v>
      </c>
      <c r="C57" s="68" t="s">
        <v>102</v>
      </c>
      <c r="D57" s="74" t="s">
        <v>142</v>
      </c>
      <c r="E57" s="73">
        <v>44985</v>
      </c>
      <c r="F57" s="72" t="s">
        <v>21</v>
      </c>
      <c r="G57" s="70" t="s">
        <v>143</v>
      </c>
      <c r="H57" s="74" t="s">
        <v>80</v>
      </c>
    </row>
    <row r="58" hidden="1" spans="1:8">
      <c r="A58" s="72" t="s">
        <v>6</v>
      </c>
      <c r="B58" s="72" t="s">
        <v>2</v>
      </c>
      <c r="C58" s="68" t="s">
        <v>102</v>
      </c>
      <c r="D58" s="74" t="s">
        <v>144</v>
      </c>
      <c r="E58" s="73">
        <v>44985</v>
      </c>
      <c r="F58" s="72" t="s">
        <v>21</v>
      </c>
      <c r="G58" s="70" t="s">
        <v>143</v>
      </c>
      <c r="H58" s="74" t="s">
        <v>145</v>
      </c>
    </row>
    <row r="59" hidden="1" spans="1:8">
      <c r="A59" s="72" t="s">
        <v>17</v>
      </c>
      <c r="B59" s="72" t="s">
        <v>2</v>
      </c>
      <c r="C59" s="68" t="s">
        <v>102</v>
      </c>
      <c r="D59" s="68" t="s">
        <v>146</v>
      </c>
      <c r="E59" s="73">
        <v>44985</v>
      </c>
      <c r="F59" s="72" t="s">
        <v>21</v>
      </c>
      <c r="G59" s="74" t="s">
        <v>147</v>
      </c>
      <c r="H59" s="74" t="s">
        <v>148</v>
      </c>
    </row>
    <row r="60" ht="22.5" hidden="1" spans="1:8">
      <c r="A60" s="72" t="s">
        <v>1</v>
      </c>
      <c r="B60" s="72" t="s">
        <v>2</v>
      </c>
      <c r="C60" s="68" t="s">
        <v>102</v>
      </c>
      <c r="D60" s="74" t="s">
        <v>149</v>
      </c>
      <c r="E60" s="73">
        <v>44985</v>
      </c>
      <c r="F60" s="72" t="s">
        <v>21</v>
      </c>
      <c r="G60" s="74" t="s">
        <v>150</v>
      </c>
      <c r="H60" s="74" t="s">
        <v>151</v>
      </c>
    </row>
    <row r="61" hidden="1" spans="1:8">
      <c r="A61" s="72" t="s">
        <v>6</v>
      </c>
      <c r="B61" s="72" t="s">
        <v>13</v>
      </c>
      <c r="C61" s="74" t="s">
        <v>152</v>
      </c>
      <c r="D61" s="74" t="s">
        <v>152</v>
      </c>
      <c r="E61" s="73">
        <v>44985</v>
      </c>
      <c r="F61" s="72" t="s">
        <v>21</v>
      </c>
      <c r="G61" s="74" t="s">
        <v>120</v>
      </c>
      <c r="H61" s="74" t="s">
        <v>121</v>
      </c>
    </row>
    <row r="62" ht="22.5" hidden="1" spans="1:8">
      <c r="A62" s="72" t="s">
        <v>6</v>
      </c>
      <c r="B62" s="72" t="s">
        <v>13</v>
      </c>
      <c r="C62" s="74" t="s">
        <v>153</v>
      </c>
      <c r="D62" s="74" t="s">
        <v>153</v>
      </c>
      <c r="E62" s="73">
        <v>44985</v>
      </c>
      <c r="F62" s="72" t="s">
        <v>21</v>
      </c>
      <c r="G62" s="74" t="s">
        <v>129</v>
      </c>
      <c r="H62" s="74" t="s">
        <v>154</v>
      </c>
    </row>
    <row r="63" hidden="1" spans="1:8">
      <c r="A63" s="72" t="s">
        <v>1</v>
      </c>
      <c r="B63" s="72" t="s">
        <v>13</v>
      </c>
      <c r="C63" s="74" t="s">
        <v>113</v>
      </c>
      <c r="D63" s="74" t="s">
        <v>113</v>
      </c>
      <c r="E63" s="73">
        <v>44985</v>
      </c>
      <c r="F63" s="72" t="s">
        <v>21</v>
      </c>
      <c r="G63" s="74" t="s">
        <v>114</v>
      </c>
      <c r="H63" s="74" t="s">
        <v>115</v>
      </c>
    </row>
    <row r="64" ht="33.75" hidden="1" spans="1:8">
      <c r="A64" s="72" t="s">
        <v>1</v>
      </c>
      <c r="B64" s="72" t="s">
        <v>13</v>
      </c>
      <c r="C64" s="68" t="s">
        <v>155</v>
      </c>
      <c r="D64" s="68" t="s">
        <v>155</v>
      </c>
      <c r="E64" s="73">
        <v>44985</v>
      </c>
      <c r="F64" s="72" t="s">
        <v>21</v>
      </c>
      <c r="G64" s="74" t="s">
        <v>156</v>
      </c>
      <c r="H64" s="74" t="s">
        <v>157</v>
      </c>
    </row>
    <row r="65" hidden="1" spans="1:8">
      <c r="A65" s="72" t="s">
        <v>6</v>
      </c>
      <c r="B65" s="72" t="s">
        <v>7</v>
      </c>
      <c r="C65" s="68" t="s">
        <v>158</v>
      </c>
      <c r="D65" s="68" t="s">
        <v>158</v>
      </c>
      <c r="E65" s="73">
        <v>44985</v>
      </c>
      <c r="F65" s="72" t="s">
        <v>21</v>
      </c>
      <c r="G65" s="74" t="s">
        <v>159</v>
      </c>
      <c r="H65" s="74" t="s">
        <v>133</v>
      </c>
    </row>
    <row r="66" hidden="1" spans="1:8">
      <c r="A66" s="72" t="s">
        <v>17</v>
      </c>
      <c r="B66" s="72" t="s">
        <v>7</v>
      </c>
      <c r="C66" s="74" t="s">
        <v>160</v>
      </c>
      <c r="D66" s="74" t="s">
        <v>160</v>
      </c>
      <c r="E66" s="73">
        <v>44985</v>
      </c>
      <c r="F66" s="72" t="s">
        <v>21</v>
      </c>
      <c r="G66" s="74" t="s">
        <v>161</v>
      </c>
      <c r="H66" s="74" t="s">
        <v>162</v>
      </c>
    </row>
    <row r="67" hidden="1" spans="1:8">
      <c r="A67" s="72" t="s">
        <v>1</v>
      </c>
      <c r="B67" s="72" t="s">
        <v>18</v>
      </c>
      <c r="C67" s="74" t="s">
        <v>163</v>
      </c>
      <c r="D67" s="74" t="s">
        <v>163</v>
      </c>
      <c r="E67" s="73">
        <v>44985</v>
      </c>
      <c r="F67" s="72" t="s">
        <v>21</v>
      </c>
      <c r="G67" s="74" t="s">
        <v>164</v>
      </c>
      <c r="H67" s="74" t="s">
        <v>59</v>
      </c>
    </row>
    <row r="68" hidden="1" spans="1:8">
      <c r="A68" s="68" t="s">
        <v>6</v>
      </c>
      <c r="B68" s="68" t="s">
        <v>2</v>
      </c>
      <c r="C68" s="68" t="s">
        <v>102</v>
      </c>
      <c r="D68" s="68" t="s">
        <v>165</v>
      </c>
      <c r="E68" s="69">
        <v>45170</v>
      </c>
      <c r="F68" s="68" t="s">
        <v>16</v>
      </c>
      <c r="G68" s="68" t="s">
        <v>166</v>
      </c>
      <c r="H68" s="68" t="s">
        <v>167</v>
      </c>
    </row>
    <row r="69" hidden="1" spans="1:8">
      <c r="A69" s="68" t="s">
        <v>6</v>
      </c>
      <c r="B69" s="68" t="s">
        <v>2</v>
      </c>
      <c r="C69" s="68" t="s">
        <v>102</v>
      </c>
      <c r="D69" s="68" t="s">
        <v>39</v>
      </c>
      <c r="E69" s="69">
        <v>45170</v>
      </c>
      <c r="F69" s="68" t="s">
        <v>16</v>
      </c>
      <c r="G69" s="68" t="s">
        <v>168</v>
      </c>
      <c r="H69" s="68" t="s">
        <v>37</v>
      </c>
    </row>
    <row r="70" hidden="1" spans="1:8">
      <c r="A70" s="68" t="s">
        <v>6</v>
      </c>
      <c r="B70" s="68" t="s">
        <v>2</v>
      </c>
      <c r="C70" s="68" t="s">
        <v>102</v>
      </c>
      <c r="D70" s="68" t="s">
        <v>39</v>
      </c>
      <c r="E70" s="69">
        <v>45170</v>
      </c>
      <c r="F70" s="68" t="s">
        <v>16</v>
      </c>
      <c r="G70" s="68" t="s">
        <v>169</v>
      </c>
      <c r="H70" s="68" t="s">
        <v>37</v>
      </c>
    </row>
    <row r="71" hidden="1" spans="1:8">
      <c r="A71" s="68" t="s">
        <v>6</v>
      </c>
      <c r="B71" s="68" t="s">
        <v>2</v>
      </c>
      <c r="C71" s="68" t="s">
        <v>102</v>
      </c>
      <c r="D71" s="68" t="s">
        <v>39</v>
      </c>
      <c r="E71" s="69">
        <v>45170</v>
      </c>
      <c r="F71" s="68" t="s">
        <v>16</v>
      </c>
      <c r="G71" s="68" t="s">
        <v>170</v>
      </c>
      <c r="H71" s="68" t="s">
        <v>37</v>
      </c>
    </row>
    <row r="72" hidden="1" spans="1:8">
      <c r="A72" s="68" t="s">
        <v>6</v>
      </c>
      <c r="B72" s="68" t="s">
        <v>2</v>
      </c>
      <c r="C72" s="68" t="s">
        <v>102</v>
      </c>
      <c r="D72" s="68" t="s">
        <v>39</v>
      </c>
      <c r="E72" s="69">
        <v>45170</v>
      </c>
      <c r="F72" s="68" t="s">
        <v>16</v>
      </c>
      <c r="G72" s="68" t="s">
        <v>171</v>
      </c>
      <c r="H72" s="68" t="s">
        <v>37</v>
      </c>
    </row>
    <row r="73" hidden="1" spans="1:8">
      <c r="A73" s="68" t="s">
        <v>6</v>
      </c>
      <c r="B73" s="68" t="s">
        <v>2</v>
      </c>
      <c r="C73" s="68" t="s">
        <v>102</v>
      </c>
      <c r="D73" s="68" t="s">
        <v>39</v>
      </c>
      <c r="E73" s="69">
        <v>45170</v>
      </c>
      <c r="F73" s="68" t="s">
        <v>16</v>
      </c>
      <c r="G73" s="68" t="s">
        <v>172</v>
      </c>
      <c r="H73" s="68" t="s">
        <v>173</v>
      </c>
    </row>
    <row r="74" hidden="1" spans="1:8">
      <c r="A74" s="68" t="s">
        <v>6</v>
      </c>
      <c r="B74" s="68" t="s">
        <v>2</v>
      </c>
      <c r="C74" s="68" t="s">
        <v>102</v>
      </c>
      <c r="D74" s="68" t="s">
        <v>39</v>
      </c>
      <c r="E74" s="69">
        <v>45170</v>
      </c>
      <c r="F74" s="68" t="s">
        <v>16</v>
      </c>
      <c r="G74" s="68" t="s">
        <v>174</v>
      </c>
      <c r="H74" s="68" t="s">
        <v>173</v>
      </c>
    </row>
    <row r="75" hidden="1" spans="1:8">
      <c r="A75" s="68" t="s">
        <v>6</v>
      </c>
      <c r="B75" s="68" t="s">
        <v>2</v>
      </c>
      <c r="C75" s="68" t="s">
        <v>102</v>
      </c>
      <c r="D75" s="68" t="s">
        <v>42</v>
      </c>
      <c r="E75" s="69">
        <v>45170</v>
      </c>
      <c r="F75" s="68" t="s">
        <v>16</v>
      </c>
      <c r="G75" s="68" t="s">
        <v>175</v>
      </c>
      <c r="H75" s="68" t="s">
        <v>37</v>
      </c>
    </row>
    <row r="76" hidden="1" spans="1:8">
      <c r="A76" s="68" t="s">
        <v>6</v>
      </c>
      <c r="B76" s="68" t="s">
        <v>2</v>
      </c>
      <c r="C76" s="68" t="s">
        <v>102</v>
      </c>
      <c r="D76" s="68" t="s">
        <v>42</v>
      </c>
      <c r="E76" s="69">
        <v>45170</v>
      </c>
      <c r="F76" s="68" t="s">
        <v>16</v>
      </c>
      <c r="G76" s="68" t="s">
        <v>176</v>
      </c>
      <c r="H76" s="68" t="s">
        <v>37</v>
      </c>
    </row>
    <row r="77" hidden="1" spans="1:8">
      <c r="A77" s="68" t="s">
        <v>6</v>
      </c>
      <c r="B77" s="68" t="s">
        <v>2</v>
      </c>
      <c r="C77" s="68" t="s">
        <v>102</v>
      </c>
      <c r="D77" s="68" t="s">
        <v>42</v>
      </c>
      <c r="E77" s="69">
        <v>45170</v>
      </c>
      <c r="F77" s="68" t="s">
        <v>16</v>
      </c>
      <c r="G77" s="68" t="s">
        <v>177</v>
      </c>
      <c r="H77" s="68" t="s">
        <v>37</v>
      </c>
    </row>
    <row r="78" hidden="1" spans="1:8">
      <c r="A78" s="68" t="s">
        <v>6</v>
      </c>
      <c r="B78" s="68" t="s">
        <v>2</v>
      </c>
      <c r="C78" s="68" t="s">
        <v>102</v>
      </c>
      <c r="D78" s="68" t="s">
        <v>42</v>
      </c>
      <c r="E78" s="69">
        <v>45170</v>
      </c>
      <c r="F78" s="68" t="s">
        <v>16</v>
      </c>
      <c r="G78" s="68" t="s">
        <v>178</v>
      </c>
      <c r="H78" s="68" t="s">
        <v>37</v>
      </c>
    </row>
    <row r="79" hidden="1" spans="1:8">
      <c r="A79" s="68" t="s">
        <v>17</v>
      </c>
      <c r="B79" s="68" t="s">
        <v>13</v>
      </c>
      <c r="C79" s="68" t="s">
        <v>179</v>
      </c>
      <c r="D79" s="68" t="s">
        <v>179</v>
      </c>
      <c r="E79" s="69">
        <v>45170</v>
      </c>
      <c r="F79" s="68" t="s">
        <v>16</v>
      </c>
      <c r="G79" s="68" t="s">
        <v>180</v>
      </c>
      <c r="H79" s="68" t="s">
        <v>95</v>
      </c>
    </row>
    <row r="80" hidden="1" spans="1:8">
      <c r="A80" s="68" t="s">
        <v>6</v>
      </c>
      <c r="B80" s="68" t="s">
        <v>13</v>
      </c>
      <c r="C80" s="68" t="s">
        <v>181</v>
      </c>
      <c r="D80" s="68" t="s">
        <v>181</v>
      </c>
      <c r="E80" s="69">
        <v>45170</v>
      </c>
      <c r="F80" s="68" t="s">
        <v>16</v>
      </c>
      <c r="G80" s="68" t="s">
        <v>182</v>
      </c>
      <c r="H80" s="68" t="s">
        <v>74</v>
      </c>
    </row>
    <row r="81" hidden="1" spans="1:8">
      <c r="A81" s="68" t="s">
        <v>6</v>
      </c>
      <c r="B81" s="68" t="s">
        <v>13</v>
      </c>
      <c r="C81" s="68" t="s">
        <v>183</v>
      </c>
      <c r="D81" s="68" t="s">
        <v>183</v>
      </c>
      <c r="E81" s="69">
        <v>45170</v>
      </c>
      <c r="F81" s="68" t="s">
        <v>16</v>
      </c>
      <c r="G81" s="68" t="s">
        <v>182</v>
      </c>
      <c r="H81" s="68" t="s">
        <v>184</v>
      </c>
    </row>
    <row r="82" hidden="1" spans="1:8">
      <c r="A82" s="68" t="s">
        <v>6</v>
      </c>
      <c r="B82" s="68" t="s">
        <v>7</v>
      </c>
      <c r="C82" s="68" t="s">
        <v>185</v>
      </c>
      <c r="D82" s="68" t="s">
        <v>185</v>
      </c>
      <c r="E82" s="69">
        <v>45170</v>
      </c>
      <c r="F82" s="68" t="s">
        <v>16</v>
      </c>
      <c r="G82" s="68" t="s">
        <v>186</v>
      </c>
      <c r="H82" s="68" t="s">
        <v>98</v>
      </c>
    </row>
    <row r="83" hidden="1" spans="1:8">
      <c r="A83" s="72" t="s">
        <v>6</v>
      </c>
      <c r="B83" s="72" t="s">
        <v>2</v>
      </c>
      <c r="C83" s="68" t="s">
        <v>102</v>
      </c>
      <c r="D83" s="74" t="s">
        <v>39</v>
      </c>
      <c r="E83" s="73">
        <v>45217</v>
      </c>
      <c r="F83" s="72" t="s">
        <v>38</v>
      </c>
      <c r="G83" s="70" t="s">
        <v>187</v>
      </c>
      <c r="H83" s="70" t="s">
        <v>141</v>
      </c>
    </row>
    <row r="84" ht="22.5" hidden="1" spans="1:8">
      <c r="A84" s="72" t="s">
        <v>1</v>
      </c>
      <c r="B84" s="72" t="s">
        <v>13</v>
      </c>
      <c r="C84" s="70" t="s">
        <v>188</v>
      </c>
      <c r="D84" s="74" t="s">
        <v>189</v>
      </c>
      <c r="E84" s="73">
        <v>45217</v>
      </c>
      <c r="F84" s="72" t="s">
        <v>34</v>
      </c>
      <c r="G84" s="74" t="s">
        <v>190</v>
      </c>
      <c r="H84" s="74" t="s">
        <v>105</v>
      </c>
    </row>
    <row r="85" ht="22.5" hidden="1" spans="1:8">
      <c r="A85" s="72" t="s">
        <v>6</v>
      </c>
      <c r="B85" s="72" t="s">
        <v>13</v>
      </c>
      <c r="C85" s="74" t="s">
        <v>191</v>
      </c>
      <c r="D85" s="74" t="s">
        <v>116</v>
      </c>
      <c r="E85" s="73">
        <v>45217</v>
      </c>
      <c r="F85" s="72" t="s">
        <v>34</v>
      </c>
      <c r="G85" s="74" t="s">
        <v>192</v>
      </c>
      <c r="H85" s="74" t="s">
        <v>118</v>
      </c>
    </row>
    <row r="86" hidden="1" spans="1:8">
      <c r="A86" s="72" t="s">
        <v>6</v>
      </c>
      <c r="B86" s="72" t="s">
        <v>13</v>
      </c>
      <c r="C86" s="70" t="s">
        <v>188</v>
      </c>
      <c r="D86" s="74" t="s">
        <v>193</v>
      </c>
      <c r="E86" s="73">
        <v>45217</v>
      </c>
      <c r="F86" s="72" t="s">
        <v>34</v>
      </c>
      <c r="G86" s="74" t="s">
        <v>120</v>
      </c>
      <c r="H86" s="74" t="s">
        <v>121</v>
      </c>
    </row>
    <row r="87" hidden="1" spans="1:8">
      <c r="A87" s="72" t="s">
        <v>6</v>
      </c>
      <c r="B87" s="72" t="s">
        <v>13</v>
      </c>
      <c r="C87" s="74" t="s">
        <v>191</v>
      </c>
      <c r="D87" s="74" t="s">
        <v>125</v>
      </c>
      <c r="E87" s="73">
        <v>45217</v>
      </c>
      <c r="F87" s="72" t="s">
        <v>34</v>
      </c>
      <c r="G87" s="74" t="s">
        <v>126</v>
      </c>
      <c r="H87" s="74" t="s">
        <v>127</v>
      </c>
    </row>
    <row r="88" ht="22.5" hidden="1" spans="1:8">
      <c r="A88" s="72" t="s">
        <v>6</v>
      </c>
      <c r="B88" s="72" t="s">
        <v>13</v>
      </c>
      <c r="C88" s="70" t="s">
        <v>188</v>
      </c>
      <c r="D88" s="74" t="s">
        <v>128</v>
      </c>
      <c r="E88" s="73">
        <v>45217</v>
      </c>
      <c r="F88" s="72" t="s">
        <v>34</v>
      </c>
      <c r="G88" s="74" t="s">
        <v>129</v>
      </c>
      <c r="H88" s="74" t="s">
        <v>130</v>
      </c>
    </row>
    <row r="89" hidden="1" spans="1:8">
      <c r="A89" s="72" t="s">
        <v>6</v>
      </c>
      <c r="B89" s="72" t="s">
        <v>13</v>
      </c>
      <c r="C89" s="70" t="s">
        <v>188</v>
      </c>
      <c r="D89" s="74" t="s">
        <v>194</v>
      </c>
      <c r="E89" s="73">
        <v>45217</v>
      </c>
      <c r="F89" s="72" t="s">
        <v>34</v>
      </c>
      <c r="G89" s="74" t="s">
        <v>195</v>
      </c>
      <c r="H89" s="74" t="s">
        <v>59</v>
      </c>
    </row>
    <row r="90" hidden="1" spans="1:8">
      <c r="A90" s="72" t="s">
        <v>6</v>
      </c>
      <c r="B90" s="72" t="s">
        <v>13</v>
      </c>
      <c r="C90" s="70" t="s">
        <v>188</v>
      </c>
      <c r="D90" s="74" t="s">
        <v>194</v>
      </c>
      <c r="E90" s="73">
        <v>45217</v>
      </c>
      <c r="F90" s="68" t="s">
        <v>21</v>
      </c>
      <c r="G90" s="74" t="s">
        <v>195</v>
      </c>
      <c r="H90" s="74" t="s">
        <v>59</v>
      </c>
    </row>
    <row r="91" hidden="1" spans="1:8">
      <c r="A91" s="72" t="s">
        <v>6</v>
      </c>
      <c r="B91" s="72" t="s">
        <v>13</v>
      </c>
      <c r="C91" s="74" t="s">
        <v>191</v>
      </c>
      <c r="D91" s="68" t="s">
        <v>196</v>
      </c>
      <c r="E91" s="73">
        <v>45217</v>
      </c>
      <c r="F91" s="68" t="s">
        <v>21</v>
      </c>
      <c r="G91" s="74" t="s">
        <v>197</v>
      </c>
      <c r="H91" s="74" t="s">
        <v>198</v>
      </c>
    </row>
    <row r="92" hidden="1" spans="1:8">
      <c r="A92" s="72" t="s">
        <v>1</v>
      </c>
      <c r="B92" s="72" t="s">
        <v>7</v>
      </c>
      <c r="C92" s="68" t="s">
        <v>199</v>
      </c>
      <c r="D92" s="70" t="s">
        <v>200</v>
      </c>
      <c r="E92" s="73">
        <v>45219</v>
      </c>
      <c r="F92" s="72" t="s">
        <v>34</v>
      </c>
      <c r="G92" s="74" t="s">
        <v>132</v>
      </c>
      <c r="H92" s="74" t="s">
        <v>133</v>
      </c>
    </row>
    <row r="93" hidden="1" spans="1:8">
      <c r="A93" s="72" t="s">
        <v>6</v>
      </c>
      <c r="B93" s="72" t="s">
        <v>7</v>
      </c>
      <c r="C93" s="68" t="s">
        <v>201</v>
      </c>
      <c r="D93" s="74" t="s">
        <v>202</v>
      </c>
      <c r="E93" s="73">
        <v>45219</v>
      </c>
      <c r="F93" s="68" t="s">
        <v>34</v>
      </c>
      <c r="G93" s="74" t="s">
        <v>203</v>
      </c>
      <c r="H93" s="74" t="s">
        <v>204</v>
      </c>
    </row>
    <row r="94" hidden="1" spans="1:8">
      <c r="A94" s="72" t="s">
        <v>6</v>
      </c>
      <c r="B94" s="72" t="s">
        <v>7</v>
      </c>
      <c r="C94" s="68" t="s">
        <v>201</v>
      </c>
      <c r="D94" s="74" t="s">
        <v>202</v>
      </c>
      <c r="E94" s="73">
        <v>45219</v>
      </c>
      <c r="F94" s="68" t="s">
        <v>21</v>
      </c>
      <c r="G94" s="74" t="s">
        <v>203</v>
      </c>
      <c r="H94" s="74" t="s">
        <v>204</v>
      </c>
    </row>
    <row r="95" hidden="1" spans="1:8">
      <c r="A95" s="72" t="s">
        <v>6</v>
      </c>
      <c r="B95" s="72" t="s">
        <v>7</v>
      </c>
      <c r="C95" s="68" t="s">
        <v>199</v>
      </c>
      <c r="D95" s="74" t="s">
        <v>158</v>
      </c>
      <c r="E95" s="73">
        <v>45229</v>
      </c>
      <c r="F95" s="68" t="s">
        <v>34</v>
      </c>
      <c r="G95" s="74" t="s">
        <v>159</v>
      </c>
      <c r="H95" s="74" t="s">
        <v>133</v>
      </c>
    </row>
    <row r="96" hidden="1" spans="1:8">
      <c r="A96" s="72" t="s">
        <v>6</v>
      </c>
      <c r="B96" s="72" t="s">
        <v>2</v>
      </c>
      <c r="C96" s="68" t="s">
        <v>102</v>
      </c>
      <c r="D96" s="74" t="s">
        <v>134</v>
      </c>
      <c r="E96" s="73">
        <v>45229</v>
      </c>
      <c r="F96" s="72" t="s">
        <v>21</v>
      </c>
      <c r="G96" s="74" t="s">
        <v>205</v>
      </c>
      <c r="H96" s="74" t="s">
        <v>206</v>
      </c>
    </row>
    <row r="97" hidden="1" spans="1:8">
      <c r="A97" s="72" t="s">
        <v>6</v>
      </c>
      <c r="B97" s="72" t="s">
        <v>2</v>
      </c>
      <c r="C97" s="68" t="s">
        <v>102</v>
      </c>
      <c r="D97" s="74" t="s">
        <v>134</v>
      </c>
      <c r="E97" s="73">
        <v>45229</v>
      </c>
      <c r="F97" s="72" t="s">
        <v>21</v>
      </c>
      <c r="G97" s="74" t="s">
        <v>207</v>
      </c>
      <c r="H97" s="74" t="s">
        <v>208</v>
      </c>
    </row>
    <row r="98" hidden="1" spans="1:8">
      <c r="A98" s="72" t="s">
        <v>6</v>
      </c>
      <c r="B98" s="72" t="s">
        <v>2</v>
      </c>
      <c r="C98" s="68" t="s">
        <v>102</v>
      </c>
      <c r="D98" s="74" t="s">
        <v>134</v>
      </c>
      <c r="E98" s="73">
        <v>45229</v>
      </c>
      <c r="F98" s="72" t="s">
        <v>21</v>
      </c>
      <c r="G98" s="74" t="s">
        <v>209</v>
      </c>
      <c r="H98" s="74" t="s">
        <v>210</v>
      </c>
    </row>
    <row r="99" hidden="1" spans="1:8">
      <c r="A99" s="72" t="s">
        <v>6</v>
      </c>
      <c r="B99" s="72" t="s">
        <v>2</v>
      </c>
      <c r="C99" s="68" t="s">
        <v>102</v>
      </c>
      <c r="D99" s="74" t="s">
        <v>134</v>
      </c>
      <c r="E99" s="73">
        <v>45229</v>
      </c>
      <c r="F99" s="72" t="s">
        <v>21</v>
      </c>
      <c r="G99" s="74" t="s">
        <v>211</v>
      </c>
      <c r="H99" s="74" t="s">
        <v>208</v>
      </c>
    </row>
    <row r="100" hidden="1" spans="1:8">
      <c r="A100" s="72" t="s">
        <v>6</v>
      </c>
      <c r="B100" s="72" t="s">
        <v>2</v>
      </c>
      <c r="C100" s="68" t="s">
        <v>102</v>
      </c>
      <c r="D100" s="74" t="s">
        <v>134</v>
      </c>
      <c r="E100" s="73">
        <v>45229</v>
      </c>
      <c r="F100" s="72" t="s">
        <v>21</v>
      </c>
      <c r="G100" s="74" t="s">
        <v>212</v>
      </c>
      <c r="H100" s="74" t="s">
        <v>213</v>
      </c>
    </row>
    <row r="101" hidden="1" spans="1:8">
      <c r="A101" s="68" t="s">
        <v>1</v>
      </c>
      <c r="B101" s="68" t="s">
        <v>2</v>
      </c>
      <c r="C101" s="68" t="s">
        <v>214</v>
      </c>
      <c r="D101" s="70" t="s">
        <v>215</v>
      </c>
      <c r="E101" s="73">
        <v>45229</v>
      </c>
      <c r="F101" s="70" t="s">
        <v>21</v>
      </c>
      <c r="G101" s="70" t="s">
        <v>216</v>
      </c>
      <c r="H101" s="70" t="s">
        <v>217</v>
      </c>
    </row>
    <row r="102" hidden="1" spans="1:8">
      <c r="A102" s="72" t="s">
        <v>6</v>
      </c>
      <c r="B102" s="72" t="s">
        <v>7</v>
      </c>
      <c r="C102" s="68" t="s">
        <v>199</v>
      </c>
      <c r="D102" s="74" t="s">
        <v>158</v>
      </c>
      <c r="E102" s="73">
        <v>45229</v>
      </c>
      <c r="F102" s="72" t="s">
        <v>21</v>
      </c>
      <c r="G102" s="74" t="s">
        <v>159</v>
      </c>
      <c r="H102" s="74" t="s">
        <v>133</v>
      </c>
    </row>
    <row r="103" hidden="1" spans="1:8">
      <c r="A103" s="72" t="s">
        <v>1</v>
      </c>
      <c r="B103" s="72" t="s">
        <v>18</v>
      </c>
      <c r="C103" s="68" t="s">
        <v>218</v>
      </c>
      <c r="D103" s="74" t="s">
        <v>219</v>
      </c>
      <c r="E103" s="73">
        <v>45229</v>
      </c>
      <c r="F103" s="72" t="s">
        <v>21</v>
      </c>
      <c r="G103" s="74" t="s">
        <v>164</v>
      </c>
      <c r="H103" s="74" t="s">
        <v>59</v>
      </c>
    </row>
    <row r="104" spans="1:8">
      <c r="A104" s="72" t="s">
        <v>12</v>
      </c>
      <c r="B104" s="72" t="s">
        <v>2</v>
      </c>
      <c r="C104" s="68" t="s">
        <v>102</v>
      </c>
      <c r="D104" s="74" t="s">
        <v>39</v>
      </c>
      <c r="E104" s="73">
        <v>45235</v>
      </c>
      <c r="F104" s="72" t="s">
        <v>24</v>
      </c>
      <c r="G104" s="70" t="s">
        <v>187</v>
      </c>
      <c r="H104" s="70" t="s">
        <v>141</v>
      </c>
    </row>
    <row r="105" ht="22.5" spans="1:8">
      <c r="A105" s="72" t="s">
        <v>12</v>
      </c>
      <c r="B105" s="72" t="s">
        <v>13</v>
      </c>
      <c r="C105" s="74" t="s">
        <v>191</v>
      </c>
      <c r="D105" s="74" t="s">
        <v>116</v>
      </c>
      <c r="E105" s="73">
        <v>45245</v>
      </c>
      <c r="F105" s="72" t="s">
        <v>25</v>
      </c>
      <c r="G105" s="74" t="s">
        <v>192</v>
      </c>
      <c r="H105" s="74" t="s">
        <v>118</v>
      </c>
    </row>
    <row r="106" ht="22.5" spans="1:8">
      <c r="A106" s="72" t="s">
        <v>12</v>
      </c>
      <c r="B106" s="72" t="s">
        <v>13</v>
      </c>
      <c r="C106" s="74" t="s">
        <v>191</v>
      </c>
      <c r="D106" s="74" t="s">
        <v>116</v>
      </c>
      <c r="E106" s="73">
        <v>45245</v>
      </c>
      <c r="F106" s="72" t="s">
        <v>25</v>
      </c>
      <c r="G106" s="74" t="s">
        <v>192</v>
      </c>
      <c r="H106" s="74" t="s">
        <v>118</v>
      </c>
    </row>
    <row r="107" spans="1:8">
      <c r="A107" s="72" t="s">
        <v>12</v>
      </c>
      <c r="B107" s="72" t="s">
        <v>13</v>
      </c>
      <c r="C107" s="70" t="s">
        <v>188</v>
      </c>
      <c r="D107" s="74" t="s">
        <v>193</v>
      </c>
      <c r="E107" s="73">
        <v>45245</v>
      </c>
      <c r="F107" s="72" t="s">
        <v>25</v>
      </c>
      <c r="G107" s="74" t="s">
        <v>120</v>
      </c>
      <c r="H107" s="74" t="s">
        <v>121</v>
      </c>
    </row>
    <row r="108" ht="22.5" spans="1:8">
      <c r="A108" s="72" t="s">
        <v>12</v>
      </c>
      <c r="B108" s="72" t="s">
        <v>13</v>
      </c>
      <c r="C108" s="70" t="s">
        <v>188</v>
      </c>
      <c r="D108" s="74" t="s">
        <v>128</v>
      </c>
      <c r="E108" s="73">
        <v>45245</v>
      </c>
      <c r="F108" s="72" t="s">
        <v>25</v>
      </c>
      <c r="G108" s="74" t="s">
        <v>129</v>
      </c>
      <c r="H108" s="74" t="s">
        <v>130</v>
      </c>
    </row>
    <row r="109" spans="1:8">
      <c r="A109" s="72" t="s">
        <v>12</v>
      </c>
      <c r="B109" s="72" t="s">
        <v>13</v>
      </c>
      <c r="C109" s="70" t="s">
        <v>188</v>
      </c>
      <c r="D109" s="74" t="s">
        <v>194</v>
      </c>
      <c r="E109" s="73">
        <v>45245</v>
      </c>
      <c r="F109" s="72" t="s">
        <v>25</v>
      </c>
      <c r="G109" s="74" t="s">
        <v>195</v>
      </c>
      <c r="H109" s="74" t="s">
        <v>59</v>
      </c>
    </row>
    <row r="110" spans="1:8">
      <c r="A110" s="72" t="s">
        <v>12</v>
      </c>
      <c r="B110" s="72" t="s">
        <v>7</v>
      </c>
      <c r="C110" s="68" t="s">
        <v>201</v>
      </c>
      <c r="D110" s="74" t="s">
        <v>202</v>
      </c>
      <c r="E110" s="73">
        <v>45245</v>
      </c>
      <c r="F110" s="72" t="s">
        <v>25</v>
      </c>
      <c r="G110" s="74" t="s">
        <v>203</v>
      </c>
      <c r="H110" s="74" t="s">
        <v>204</v>
      </c>
    </row>
    <row r="111" spans="1:8">
      <c r="A111" s="72" t="s">
        <v>12</v>
      </c>
      <c r="B111" s="72" t="s">
        <v>7</v>
      </c>
      <c r="C111" s="68" t="s">
        <v>199</v>
      </c>
      <c r="D111" s="74" t="s">
        <v>158</v>
      </c>
      <c r="E111" s="73">
        <v>45245</v>
      </c>
      <c r="F111" s="72" t="s">
        <v>25</v>
      </c>
      <c r="G111" s="74" t="s">
        <v>159</v>
      </c>
      <c r="H111" s="74" t="s">
        <v>133</v>
      </c>
    </row>
    <row r="112" spans="1:8">
      <c r="A112" s="72" t="s">
        <v>12</v>
      </c>
      <c r="B112" s="72" t="s">
        <v>2</v>
      </c>
      <c r="C112" s="68" t="s">
        <v>102</v>
      </c>
      <c r="D112" s="74" t="s">
        <v>134</v>
      </c>
      <c r="E112" s="73">
        <v>45245</v>
      </c>
      <c r="F112" s="72" t="s">
        <v>25</v>
      </c>
      <c r="G112" s="74" t="s">
        <v>205</v>
      </c>
      <c r="H112" s="74" t="s">
        <v>206</v>
      </c>
    </row>
    <row r="113" spans="1:8">
      <c r="A113" s="72" t="s">
        <v>12</v>
      </c>
      <c r="B113" s="72" t="s">
        <v>2</v>
      </c>
      <c r="C113" s="68" t="s">
        <v>102</v>
      </c>
      <c r="D113" s="74" t="s">
        <v>134</v>
      </c>
      <c r="E113" s="73">
        <v>45245</v>
      </c>
      <c r="F113" s="72" t="s">
        <v>25</v>
      </c>
      <c r="G113" s="74" t="s">
        <v>207</v>
      </c>
      <c r="H113" s="74" t="s">
        <v>208</v>
      </c>
    </row>
    <row r="114" spans="1:8">
      <c r="A114" s="72" t="s">
        <v>12</v>
      </c>
      <c r="B114" s="72" t="s">
        <v>2</v>
      </c>
      <c r="C114" s="68" t="s">
        <v>102</v>
      </c>
      <c r="D114" s="74" t="s">
        <v>134</v>
      </c>
      <c r="E114" s="73">
        <v>45245</v>
      </c>
      <c r="F114" s="72" t="s">
        <v>25</v>
      </c>
      <c r="G114" s="74" t="s">
        <v>209</v>
      </c>
      <c r="H114" s="74" t="s">
        <v>210</v>
      </c>
    </row>
    <row r="115" spans="1:8">
      <c r="A115" s="72" t="s">
        <v>12</v>
      </c>
      <c r="B115" s="72" t="s">
        <v>2</v>
      </c>
      <c r="C115" s="68" t="s">
        <v>102</v>
      </c>
      <c r="D115" s="74" t="s">
        <v>134</v>
      </c>
      <c r="E115" s="73">
        <v>45245</v>
      </c>
      <c r="F115" s="72" t="s">
        <v>25</v>
      </c>
      <c r="G115" s="74" t="s">
        <v>211</v>
      </c>
      <c r="H115" s="74" t="s">
        <v>208</v>
      </c>
    </row>
    <row r="116" spans="1:8">
      <c r="A116" s="72" t="s">
        <v>12</v>
      </c>
      <c r="B116" s="72" t="s">
        <v>2</v>
      </c>
      <c r="C116" s="68" t="s">
        <v>102</v>
      </c>
      <c r="D116" s="74" t="s">
        <v>134</v>
      </c>
      <c r="E116" s="73">
        <v>45245</v>
      </c>
      <c r="F116" s="72" t="s">
        <v>25</v>
      </c>
      <c r="G116" s="74" t="s">
        <v>212</v>
      </c>
      <c r="H116" s="74" t="s">
        <v>213</v>
      </c>
    </row>
    <row r="117" ht="22.5" spans="1:8">
      <c r="A117" s="72" t="s">
        <v>12</v>
      </c>
      <c r="B117" s="72" t="s">
        <v>2</v>
      </c>
      <c r="C117" s="68" t="s">
        <v>102</v>
      </c>
      <c r="D117" s="74" t="s">
        <v>139</v>
      </c>
      <c r="E117" s="73">
        <v>45245</v>
      </c>
      <c r="F117" s="72" t="s">
        <v>25</v>
      </c>
      <c r="G117" s="74" t="s">
        <v>140</v>
      </c>
      <c r="H117" s="74" t="s">
        <v>141</v>
      </c>
    </row>
    <row r="118" spans="1:8">
      <c r="A118" s="72" t="s">
        <v>12</v>
      </c>
      <c r="B118" s="72" t="s">
        <v>2</v>
      </c>
      <c r="C118" s="68" t="s">
        <v>102</v>
      </c>
      <c r="D118" s="74" t="s">
        <v>220</v>
      </c>
      <c r="E118" s="73">
        <v>45245</v>
      </c>
      <c r="F118" s="72" t="s">
        <v>25</v>
      </c>
      <c r="G118" s="74" t="s">
        <v>143</v>
      </c>
      <c r="H118" s="70" t="s">
        <v>145</v>
      </c>
    </row>
    <row r="119" spans="1:8">
      <c r="A119" s="72" t="s">
        <v>12</v>
      </c>
      <c r="B119" s="72" t="s">
        <v>2</v>
      </c>
      <c r="C119" s="68" t="s">
        <v>102</v>
      </c>
      <c r="D119" s="74" t="s">
        <v>142</v>
      </c>
      <c r="E119" s="73">
        <v>45252</v>
      </c>
      <c r="F119" s="72" t="s">
        <v>34</v>
      </c>
      <c r="G119" s="74" t="s">
        <v>143</v>
      </c>
      <c r="H119" s="74" t="s">
        <v>80</v>
      </c>
    </row>
    <row r="120" spans="1:8">
      <c r="A120" s="72" t="s">
        <v>12</v>
      </c>
      <c r="B120" s="72" t="s">
        <v>2</v>
      </c>
      <c r="C120" s="68" t="s">
        <v>102</v>
      </c>
      <c r="D120" s="74" t="s">
        <v>221</v>
      </c>
      <c r="E120" s="73">
        <v>45255</v>
      </c>
      <c r="F120" s="72" t="s">
        <v>34</v>
      </c>
      <c r="G120" s="70" t="s">
        <v>222</v>
      </c>
      <c r="H120" s="74" t="s">
        <v>223</v>
      </c>
    </row>
    <row r="121" spans="1:8">
      <c r="A121" s="72" t="s">
        <v>12</v>
      </c>
      <c r="B121" s="72" t="s">
        <v>2</v>
      </c>
      <c r="C121" s="68" t="s">
        <v>102</v>
      </c>
      <c r="D121" s="74" t="s">
        <v>39</v>
      </c>
      <c r="E121" s="73">
        <v>45260</v>
      </c>
      <c r="F121" s="72" t="s">
        <v>21</v>
      </c>
      <c r="G121" s="74" t="s">
        <v>224</v>
      </c>
      <c r="H121" s="74" t="s">
        <v>225</v>
      </c>
    </row>
    <row r="122" ht="22.5" spans="1:8">
      <c r="A122" s="72" t="s">
        <v>12</v>
      </c>
      <c r="B122" s="72" t="s">
        <v>2</v>
      </c>
      <c r="C122" s="68" t="s">
        <v>102</v>
      </c>
      <c r="D122" s="74" t="s">
        <v>42</v>
      </c>
      <c r="E122" s="73">
        <v>45260</v>
      </c>
      <c r="F122" s="68" t="s">
        <v>21</v>
      </c>
      <c r="G122" s="74" t="s">
        <v>226</v>
      </c>
      <c r="H122" s="74" t="s">
        <v>37</v>
      </c>
    </row>
    <row r="123" spans="1:8">
      <c r="A123" s="72" t="s">
        <v>12</v>
      </c>
      <c r="B123" s="72" t="s">
        <v>2</v>
      </c>
      <c r="C123" s="68" t="s">
        <v>102</v>
      </c>
      <c r="D123" s="74" t="s">
        <v>42</v>
      </c>
      <c r="E123" s="73">
        <v>45260</v>
      </c>
      <c r="F123" s="68" t="s">
        <v>21</v>
      </c>
      <c r="G123" s="74" t="s">
        <v>175</v>
      </c>
      <c r="H123" s="74" t="s">
        <v>37</v>
      </c>
    </row>
    <row r="124" spans="1:8">
      <c r="A124" s="72" t="s">
        <v>12</v>
      </c>
      <c r="B124" s="72" t="s">
        <v>2</v>
      </c>
      <c r="C124" s="68" t="s">
        <v>102</v>
      </c>
      <c r="D124" s="74" t="s">
        <v>39</v>
      </c>
      <c r="E124" s="69">
        <v>45260</v>
      </c>
      <c r="F124" s="68" t="s">
        <v>21</v>
      </c>
      <c r="G124" s="70" t="s">
        <v>227</v>
      </c>
      <c r="H124" s="74" t="s">
        <v>37</v>
      </c>
    </row>
    <row r="125" spans="1:8">
      <c r="A125" s="72" t="s">
        <v>12</v>
      </c>
      <c r="B125" s="72" t="s">
        <v>2</v>
      </c>
      <c r="C125" s="68" t="s">
        <v>102</v>
      </c>
      <c r="D125" s="74" t="s">
        <v>39</v>
      </c>
      <c r="E125" s="73">
        <v>45260</v>
      </c>
      <c r="F125" s="68" t="s">
        <v>21</v>
      </c>
      <c r="G125" s="74" t="s">
        <v>168</v>
      </c>
      <c r="H125" s="74" t="s">
        <v>37</v>
      </c>
    </row>
    <row r="126" spans="1:8">
      <c r="A126" s="72" t="s">
        <v>12</v>
      </c>
      <c r="B126" s="72" t="s">
        <v>13</v>
      </c>
      <c r="C126" s="70" t="s">
        <v>188</v>
      </c>
      <c r="D126" s="74" t="s">
        <v>228</v>
      </c>
      <c r="E126" s="73">
        <v>45260</v>
      </c>
      <c r="F126" s="72" t="s">
        <v>21</v>
      </c>
      <c r="G126" s="74" t="s">
        <v>120</v>
      </c>
      <c r="H126" s="74" t="s">
        <v>121</v>
      </c>
    </row>
    <row r="127" ht="22.5" spans="1:8">
      <c r="A127" s="72" t="s">
        <v>12</v>
      </c>
      <c r="B127" s="72" t="s">
        <v>13</v>
      </c>
      <c r="C127" s="70" t="s">
        <v>188</v>
      </c>
      <c r="D127" s="74" t="s">
        <v>153</v>
      </c>
      <c r="E127" s="73">
        <v>45260</v>
      </c>
      <c r="F127" s="72" t="s">
        <v>21</v>
      </c>
      <c r="G127" s="74" t="s">
        <v>129</v>
      </c>
      <c r="H127" s="74" t="s">
        <v>154</v>
      </c>
    </row>
    <row r="128" spans="1:8">
      <c r="A128" s="72" t="s">
        <v>12</v>
      </c>
      <c r="B128" s="72" t="s">
        <v>13</v>
      </c>
      <c r="C128" s="74" t="s">
        <v>191</v>
      </c>
      <c r="D128" s="68" t="s">
        <v>196</v>
      </c>
      <c r="E128" s="73">
        <v>45260</v>
      </c>
      <c r="F128" s="68" t="s">
        <v>21</v>
      </c>
      <c r="G128" s="74" t="s">
        <v>197</v>
      </c>
      <c r="H128" s="74" t="s">
        <v>198</v>
      </c>
    </row>
    <row r="129" spans="1:8">
      <c r="A129" s="72" t="s">
        <v>12</v>
      </c>
      <c r="B129" s="72" t="s">
        <v>13</v>
      </c>
      <c r="C129" s="70" t="s">
        <v>188</v>
      </c>
      <c r="D129" s="74" t="s">
        <v>194</v>
      </c>
      <c r="E129" s="73">
        <v>45260</v>
      </c>
      <c r="F129" s="72" t="s">
        <v>21</v>
      </c>
      <c r="G129" s="74" t="s">
        <v>195</v>
      </c>
      <c r="H129" s="74" t="s">
        <v>59</v>
      </c>
    </row>
    <row r="130" spans="1:8">
      <c r="A130" s="72" t="s">
        <v>12</v>
      </c>
      <c r="B130" s="72" t="s">
        <v>7</v>
      </c>
      <c r="C130" s="68" t="s">
        <v>199</v>
      </c>
      <c r="D130" s="74" t="s">
        <v>229</v>
      </c>
      <c r="E130" s="73">
        <v>45260</v>
      </c>
      <c r="F130" s="72" t="s">
        <v>21</v>
      </c>
      <c r="G130" s="74" t="s">
        <v>161</v>
      </c>
      <c r="H130" s="74" t="s">
        <v>162</v>
      </c>
    </row>
    <row r="131" spans="1:8">
      <c r="A131" s="72" t="s">
        <v>12</v>
      </c>
      <c r="B131" s="72" t="s">
        <v>7</v>
      </c>
      <c r="C131" s="68" t="s">
        <v>199</v>
      </c>
      <c r="D131" s="70" t="s">
        <v>230</v>
      </c>
      <c r="E131" s="73">
        <v>45260</v>
      </c>
      <c r="F131" s="72" t="s">
        <v>21</v>
      </c>
      <c r="G131" s="74" t="s">
        <v>159</v>
      </c>
      <c r="H131" s="74" t="s">
        <v>133</v>
      </c>
    </row>
    <row r="132" hidden="1" spans="1:8">
      <c r="A132" s="68" t="s">
        <v>17</v>
      </c>
      <c r="B132" s="68" t="s">
        <v>2</v>
      </c>
      <c r="C132" s="68" t="s">
        <v>102</v>
      </c>
      <c r="D132" s="68" t="s">
        <v>231</v>
      </c>
      <c r="E132" s="69">
        <v>45261</v>
      </c>
      <c r="F132" s="68" t="s">
        <v>16</v>
      </c>
      <c r="G132" s="68" t="s">
        <v>232</v>
      </c>
      <c r="H132" s="68" t="s">
        <v>233</v>
      </c>
    </row>
    <row r="133" hidden="1" spans="1:8">
      <c r="A133" s="68" t="s">
        <v>17</v>
      </c>
      <c r="B133" s="68" t="s">
        <v>2</v>
      </c>
      <c r="C133" s="68" t="s">
        <v>102</v>
      </c>
      <c r="D133" s="68" t="s">
        <v>231</v>
      </c>
      <c r="E133" s="69">
        <v>45261</v>
      </c>
      <c r="F133" s="68" t="s">
        <v>16</v>
      </c>
      <c r="G133" s="68" t="s">
        <v>234</v>
      </c>
      <c r="H133" s="68" t="s">
        <v>233</v>
      </c>
    </row>
    <row r="134" hidden="1" spans="1:8">
      <c r="A134" s="68" t="s">
        <v>17</v>
      </c>
      <c r="B134" s="68" t="s">
        <v>2</v>
      </c>
      <c r="C134" s="68" t="s">
        <v>102</v>
      </c>
      <c r="D134" s="68" t="s">
        <v>39</v>
      </c>
      <c r="E134" s="69">
        <v>45261</v>
      </c>
      <c r="F134" s="68" t="s">
        <v>16</v>
      </c>
      <c r="G134" s="68" t="s">
        <v>235</v>
      </c>
      <c r="H134" s="68" t="s">
        <v>37</v>
      </c>
    </row>
    <row r="135" hidden="1" spans="1:8">
      <c r="A135" s="68" t="s">
        <v>17</v>
      </c>
      <c r="B135" s="68" t="s">
        <v>2</v>
      </c>
      <c r="C135" s="68" t="s">
        <v>102</v>
      </c>
      <c r="D135" s="68" t="s">
        <v>39</v>
      </c>
      <c r="E135" s="69">
        <v>45261</v>
      </c>
      <c r="F135" s="68" t="s">
        <v>16</v>
      </c>
      <c r="G135" s="68" t="s">
        <v>236</v>
      </c>
      <c r="H135" s="68" t="s">
        <v>173</v>
      </c>
    </row>
    <row r="136" hidden="1" spans="1:8">
      <c r="A136" s="68" t="s">
        <v>17</v>
      </c>
      <c r="B136" s="68" t="s">
        <v>2</v>
      </c>
      <c r="C136" s="68" t="s">
        <v>214</v>
      </c>
      <c r="D136" s="68" t="s">
        <v>35</v>
      </c>
      <c r="E136" s="69">
        <v>45261</v>
      </c>
      <c r="F136" s="68" t="s">
        <v>16</v>
      </c>
      <c r="G136" s="68" t="s">
        <v>237</v>
      </c>
      <c r="H136" s="68" t="s">
        <v>37</v>
      </c>
    </row>
    <row r="137" hidden="1" spans="1:8">
      <c r="A137" s="68" t="s">
        <v>17</v>
      </c>
      <c r="B137" s="68" t="s">
        <v>2</v>
      </c>
      <c r="C137" s="68" t="s">
        <v>214</v>
      </c>
      <c r="D137" s="68" t="s">
        <v>35</v>
      </c>
      <c r="E137" s="69">
        <v>45261</v>
      </c>
      <c r="F137" s="68" t="s">
        <v>16</v>
      </c>
      <c r="G137" s="68" t="s">
        <v>238</v>
      </c>
      <c r="H137" s="68" t="s">
        <v>37</v>
      </c>
    </row>
    <row r="138" hidden="1" spans="1:8">
      <c r="A138" s="68" t="s">
        <v>17</v>
      </c>
      <c r="B138" s="68" t="s">
        <v>13</v>
      </c>
      <c r="C138" s="68" t="s">
        <v>239</v>
      </c>
      <c r="D138" s="68" t="s">
        <v>239</v>
      </c>
      <c r="E138" s="69">
        <v>45261</v>
      </c>
      <c r="F138" s="68" t="s">
        <v>16</v>
      </c>
      <c r="G138" s="68" t="s">
        <v>240</v>
      </c>
      <c r="H138" s="68" t="s">
        <v>241</v>
      </c>
    </row>
    <row r="139" hidden="1" spans="1:8">
      <c r="A139" s="68" t="s">
        <v>17</v>
      </c>
      <c r="B139" s="68" t="s">
        <v>13</v>
      </c>
      <c r="C139" s="74" t="s">
        <v>242</v>
      </c>
      <c r="D139" s="74" t="s">
        <v>242</v>
      </c>
      <c r="E139" s="69">
        <v>45261</v>
      </c>
      <c r="F139" s="68" t="s">
        <v>16</v>
      </c>
      <c r="G139" s="74" t="s">
        <v>243</v>
      </c>
      <c r="H139" s="74" t="s">
        <v>145</v>
      </c>
    </row>
    <row r="140" hidden="1" spans="1:8">
      <c r="A140" s="68" t="s">
        <v>17</v>
      </c>
      <c r="B140" s="68" t="s">
        <v>7</v>
      </c>
      <c r="C140" s="68" t="s">
        <v>78</v>
      </c>
      <c r="D140" s="68" t="s">
        <v>78</v>
      </c>
      <c r="E140" s="69">
        <v>45261</v>
      </c>
      <c r="F140" s="68" t="s">
        <v>16</v>
      </c>
      <c r="G140" s="68" t="s">
        <v>99</v>
      </c>
      <c r="H140" s="68" t="s">
        <v>80</v>
      </c>
    </row>
    <row r="141" hidden="1" spans="1:8">
      <c r="A141" s="68" t="s">
        <v>17</v>
      </c>
      <c r="B141" s="68" t="s">
        <v>7</v>
      </c>
      <c r="C141" s="68" t="s">
        <v>244</v>
      </c>
      <c r="D141" s="68" t="s">
        <v>244</v>
      </c>
      <c r="E141" s="69">
        <v>45261</v>
      </c>
      <c r="F141" s="68" t="s">
        <v>16</v>
      </c>
      <c r="G141" s="68" t="s">
        <v>245</v>
      </c>
      <c r="H141" s="68" t="s">
        <v>246</v>
      </c>
    </row>
    <row r="142" hidden="1" spans="1:8">
      <c r="A142" s="68" t="s">
        <v>17</v>
      </c>
      <c r="B142" s="68" t="s">
        <v>7</v>
      </c>
      <c r="C142" s="68" t="s">
        <v>81</v>
      </c>
      <c r="D142" s="68" t="s">
        <v>81</v>
      </c>
      <c r="E142" s="69">
        <v>45261</v>
      </c>
      <c r="F142" s="68" t="s">
        <v>16</v>
      </c>
      <c r="G142" s="68" t="s">
        <v>99</v>
      </c>
      <c r="H142" s="68" t="s">
        <v>80</v>
      </c>
    </row>
    <row r="143" spans="1:8">
      <c r="A143" s="72" t="s">
        <v>12</v>
      </c>
      <c r="B143" s="72" t="s">
        <v>2</v>
      </c>
      <c r="C143" s="68" t="s">
        <v>102</v>
      </c>
      <c r="D143" s="74" t="s">
        <v>39</v>
      </c>
      <c r="E143" s="73">
        <v>45288</v>
      </c>
      <c r="F143" s="68" t="s">
        <v>21</v>
      </c>
      <c r="G143" s="70" t="s">
        <v>247</v>
      </c>
      <c r="H143" s="74" t="s">
        <v>173</v>
      </c>
    </row>
    <row r="144" spans="1:8">
      <c r="A144" s="72" t="s">
        <v>12</v>
      </c>
      <c r="B144" s="72" t="s">
        <v>13</v>
      </c>
      <c r="C144" s="70" t="s">
        <v>188</v>
      </c>
      <c r="D144" s="74" t="s">
        <v>248</v>
      </c>
      <c r="E144" s="73">
        <v>45290</v>
      </c>
      <c r="F144" s="72" t="s">
        <v>16</v>
      </c>
      <c r="G144" s="74" t="s">
        <v>240</v>
      </c>
      <c r="H144" s="74" t="s">
        <v>241</v>
      </c>
    </row>
    <row r="145" ht="22.5" spans="1:8">
      <c r="A145" s="72" t="s">
        <v>12</v>
      </c>
      <c r="B145" s="72" t="s">
        <v>2</v>
      </c>
      <c r="C145" s="68" t="s">
        <v>249</v>
      </c>
      <c r="D145" s="70" t="s">
        <v>250</v>
      </c>
      <c r="E145" s="73">
        <v>45290</v>
      </c>
      <c r="F145" s="72" t="s">
        <v>21</v>
      </c>
      <c r="G145" s="74" t="s">
        <v>251</v>
      </c>
      <c r="H145" s="74" t="s">
        <v>252</v>
      </c>
    </row>
    <row r="146" spans="1:8">
      <c r="A146" s="72" t="s">
        <v>12</v>
      </c>
      <c r="B146" s="72" t="s">
        <v>2</v>
      </c>
      <c r="C146" s="68" t="s">
        <v>214</v>
      </c>
      <c r="D146" s="74" t="s">
        <v>35</v>
      </c>
      <c r="E146" s="73">
        <v>45290</v>
      </c>
      <c r="F146" s="68" t="s">
        <v>21</v>
      </c>
      <c r="G146" s="74" t="s">
        <v>253</v>
      </c>
      <c r="H146" s="74" t="s">
        <v>37</v>
      </c>
    </row>
    <row r="147" spans="1:8">
      <c r="A147" s="72" t="s">
        <v>12</v>
      </c>
      <c r="B147" s="72" t="s">
        <v>2</v>
      </c>
      <c r="C147" s="68" t="s">
        <v>102</v>
      </c>
      <c r="D147" s="74" t="s">
        <v>42</v>
      </c>
      <c r="E147" s="73">
        <v>45290</v>
      </c>
      <c r="F147" s="68" t="s">
        <v>21</v>
      </c>
      <c r="G147" s="74" t="s">
        <v>176</v>
      </c>
      <c r="H147" s="74" t="s">
        <v>37</v>
      </c>
    </row>
    <row r="148" spans="1:8">
      <c r="A148" s="72" t="s">
        <v>12</v>
      </c>
      <c r="B148" s="72" t="s">
        <v>2</v>
      </c>
      <c r="C148" s="68" t="s">
        <v>102</v>
      </c>
      <c r="D148" s="74" t="s">
        <v>42</v>
      </c>
      <c r="E148" s="73">
        <v>45290</v>
      </c>
      <c r="F148" s="68" t="s">
        <v>21</v>
      </c>
      <c r="G148" s="74" t="s">
        <v>178</v>
      </c>
      <c r="H148" s="74" t="s">
        <v>37</v>
      </c>
    </row>
    <row r="149" ht="22.5" spans="1:8">
      <c r="A149" s="72" t="s">
        <v>12</v>
      </c>
      <c r="B149" s="72" t="s">
        <v>2</v>
      </c>
      <c r="C149" s="68" t="s">
        <v>102</v>
      </c>
      <c r="D149" s="74" t="s">
        <v>254</v>
      </c>
      <c r="E149" s="69">
        <v>45290</v>
      </c>
      <c r="F149" s="72" t="s">
        <v>21</v>
      </c>
      <c r="G149" s="70" t="s">
        <v>255</v>
      </c>
      <c r="H149" s="74" t="s">
        <v>148</v>
      </c>
    </row>
    <row r="150" spans="1:8">
      <c r="A150" s="72" t="s">
        <v>12</v>
      </c>
      <c r="B150" s="72" t="s">
        <v>13</v>
      </c>
      <c r="C150" s="70" t="s">
        <v>188</v>
      </c>
      <c r="D150" s="74" t="s">
        <v>194</v>
      </c>
      <c r="E150" s="73">
        <v>45290</v>
      </c>
      <c r="F150" s="72" t="s">
        <v>16</v>
      </c>
      <c r="G150" s="74" t="s">
        <v>195</v>
      </c>
      <c r="H150" s="74" t="s">
        <v>59</v>
      </c>
    </row>
    <row r="151" spans="1:8">
      <c r="A151" s="72" t="s">
        <v>12</v>
      </c>
      <c r="B151" s="72" t="s">
        <v>13</v>
      </c>
      <c r="C151" s="70" t="s">
        <v>256</v>
      </c>
      <c r="D151" s="74" t="s">
        <v>257</v>
      </c>
      <c r="E151" s="73">
        <v>45290</v>
      </c>
      <c r="F151" s="72" t="s">
        <v>16</v>
      </c>
      <c r="G151" s="74" t="s">
        <v>182</v>
      </c>
      <c r="H151" s="74" t="s">
        <v>74</v>
      </c>
    </row>
    <row r="152" spans="1:8">
      <c r="A152" s="72" t="s">
        <v>12</v>
      </c>
      <c r="B152" s="72" t="s">
        <v>13</v>
      </c>
      <c r="C152" s="74" t="s">
        <v>191</v>
      </c>
      <c r="D152" s="74" t="s">
        <v>183</v>
      </c>
      <c r="E152" s="73">
        <v>45290</v>
      </c>
      <c r="F152" s="72" t="s">
        <v>16</v>
      </c>
      <c r="G152" s="74" t="s">
        <v>182</v>
      </c>
      <c r="H152" s="74" t="s">
        <v>184</v>
      </c>
    </row>
    <row r="153" spans="1:8">
      <c r="A153" s="72" t="s">
        <v>12</v>
      </c>
      <c r="B153" s="72" t="s">
        <v>7</v>
      </c>
      <c r="C153" s="68" t="s">
        <v>199</v>
      </c>
      <c r="D153" s="74" t="s">
        <v>185</v>
      </c>
      <c r="E153" s="73">
        <v>45290</v>
      </c>
      <c r="F153" s="72" t="s">
        <v>16</v>
      </c>
      <c r="G153" s="74" t="s">
        <v>258</v>
      </c>
      <c r="H153" s="74" t="s">
        <v>98</v>
      </c>
    </row>
    <row r="154" spans="1:8">
      <c r="A154" s="68" t="s">
        <v>12</v>
      </c>
      <c r="B154" s="68" t="s">
        <v>18</v>
      </c>
      <c r="C154" s="68" t="s">
        <v>218</v>
      </c>
      <c r="D154" s="68" t="s">
        <v>259</v>
      </c>
      <c r="E154" s="69">
        <v>45290</v>
      </c>
      <c r="F154" s="68" t="s">
        <v>16</v>
      </c>
      <c r="G154" s="68" t="s">
        <v>260</v>
      </c>
      <c r="H154" s="68" t="s">
        <v>59</v>
      </c>
    </row>
    <row r="155" spans="1:8">
      <c r="A155" s="68" t="s">
        <v>12</v>
      </c>
      <c r="B155" s="68" t="s">
        <v>18</v>
      </c>
      <c r="C155" s="68" t="s">
        <v>218</v>
      </c>
      <c r="D155" s="68" t="s">
        <v>100</v>
      </c>
      <c r="E155" s="69">
        <v>45290</v>
      </c>
      <c r="F155" s="68" t="s">
        <v>16</v>
      </c>
      <c r="G155" s="68" t="s">
        <v>101</v>
      </c>
      <c r="H155" s="68" t="s">
        <v>95</v>
      </c>
    </row>
    <row r="156" ht="22.5" spans="1:8">
      <c r="A156" s="72" t="s">
        <v>12</v>
      </c>
      <c r="B156" s="72" t="s">
        <v>13</v>
      </c>
      <c r="C156" s="70" t="s">
        <v>188</v>
      </c>
      <c r="D156" s="74" t="s">
        <v>153</v>
      </c>
      <c r="E156" s="73">
        <v>45290</v>
      </c>
      <c r="F156" s="72" t="s">
        <v>21</v>
      </c>
      <c r="G156" s="74" t="s">
        <v>129</v>
      </c>
      <c r="H156" s="74" t="s">
        <v>154</v>
      </c>
    </row>
    <row r="157" spans="1:8">
      <c r="A157" s="72" t="s">
        <v>12</v>
      </c>
      <c r="B157" s="72" t="s">
        <v>7</v>
      </c>
      <c r="C157" s="68" t="s">
        <v>199</v>
      </c>
      <c r="D157" s="70" t="s">
        <v>230</v>
      </c>
      <c r="E157" s="73">
        <v>45290</v>
      </c>
      <c r="F157" s="72" t="s">
        <v>21</v>
      </c>
      <c r="G157" s="74" t="s">
        <v>159</v>
      </c>
      <c r="H157" s="74" t="s">
        <v>133</v>
      </c>
    </row>
    <row r="158" spans="1:8">
      <c r="A158" s="72" t="s">
        <v>12</v>
      </c>
      <c r="B158" s="72" t="s">
        <v>13</v>
      </c>
      <c r="C158" s="68" t="s">
        <v>256</v>
      </c>
      <c r="D158" s="74" t="s">
        <v>261</v>
      </c>
      <c r="E158" s="73">
        <v>45290</v>
      </c>
      <c r="F158" s="72" t="s">
        <v>16</v>
      </c>
      <c r="G158" s="74" t="s">
        <v>262</v>
      </c>
      <c r="H158" s="74" t="s">
        <v>263</v>
      </c>
    </row>
    <row r="159" spans="1:8">
      <c r="A159" s="72" t="s">
        <v>12</v>
      </c>
      <c r="B159" s="72" t="s">
        <v>2</v>
      </c>
      <c r="C159" s="68" t="s">
        <v>102</v>
      </c>
      <c r="D159" s="74" t="s">
        <v>39</v>
      </c>
      <c r="E159" s="73">
        <v>45291</v>
      </c>
      <c r="F159" s="68" t="s">
        <v>21</v>
      </c>
      <c r="G159" s="74" t="s">
        <v>144</v>
      </c>
      <c r="H159" s="74" t="s">
        <v>145</v>
      </c>
    </row>
    <row r="160" hidden="1" spans="1:8">
      <c r="A160" s="72" t="s">
        <v>12</v>
      </c>
      <c r="B160" s="72" t="s">
        <v>2</v>
      </c>
      <c r="C160" s="68" t="s">
        <v>102</v>
      </c>
      <c r="D160" s="74" t="s">
        <v>39</v>
      </c>
      <c r="E160" s="73">
        <v>45319</v>
      </c>
      <c r="F160" s="72" t="s">
        <v>16</v>
      </c>
      <c r="G160" s="70" t="s">
        <v>264</v>
      </c>
      <c r="H160" s="74" t="s">
        <v>37</v>
      </c>
    </row>
    <row r="161" hidden="1" spans="1:8">
      <c r="A161" s="68" t="s">
        <v>12</v>
      </c>
      <c r="B161" s="72" t="s">
        <v>2</v>
      </c>
      <c r="C161" s="68" t="s">
        <v>102</v>
      </c>
      <c r="D161" s="74" t="s">
        <v>39</v>
      </c>
      <c r="E161" s="73">
        <v>45321</v>
      </c>
      <c r="F161" s="68" t="s">
        <v>21</v>
      </c>
      <c r="G161" s="70" t="s">
        <v>265</v>
      </c>
      <c r="H161" s="74" t="s">
        <v>141</v>
      </c>
    </row>
    <row r="162" hidden="1" spans="1:8">
      <c r="A162" s="72" t="s">
        <v>12</v>
      </c>
      <c r="B162" s="72" t="s">
        <v>2</v>
      </c>
      <c r="C162" s="68" t="s">
        <v>102</v>
      </c>
      <c r="D162" s="74" t="s">
        <v>42</v>
      </c>
      <c r="E162" s="73">
        <v>45321</v>
      </c>
      <c r="F162" s="68" t="s">
        <v>21</v>
      </c>
      <c r="G162" s="74" t="s">
        <v>177</v>
      </c>
      <c r="H162" s="74" t="s">
        <v>37</v>
      </c>
    </row>
    <row r="163" ht="22.5" hidden="1" spans="1:8">
      <c r="A163" s="72" t="s">
        <v>12</v>
      </c>
      <c r="B163" s="72" t="s">
        <v>2</v>
      </c>
      <c r="C163" s="68" t="s">
        <v>102</v>
      </c>
      <c r="D163" s="74" t="s">
        <v>165</v>
      </c>
      <c r="E163" s="73">
        <v>45321</v>
      </c>
      <c r="F163" s="72" t="s">
        <v>21</v>
      </c>
      <c r="G163" s="70" t="s">
        <v>166</v>
      </c>
      <c r="H163" s="74" t="s">
        <v>167</v>
      </c>
    </row>
    <row r="164" hidden="1" spans="1:8">
      <c r="A164" s="72" t="s">
        <v>12</v>
      </c>
      <c r="B164" s="72" t="s">
        <v>2</v>
      </c>
      <c r="C164" s="68" t="s">
        <v>102</v>
      </c>
      <c r="D164" s="74" t="s">
        <v>39</v>
      </c>
      <c r="E164" s="73">
        <v>45321</v>
      </c>
      <c r="F164" s="68" t="s">
        <v>21</v>
      </c>
      <c r="G164" s="74" t="s">
        <v>170</v>
      </c>
      <c r="H164" s="74" t="s">
        <v>37</v>
      </c>
    </row>
    <row r="165" ht="22.5" hidden="1" spans="1:8">
      <c r="A165" s="72" t="s">
        <v>12</v>
      </c>
      <c r="B165" s="72" t="s">
        <v>13</v>
      </c>
      <c r="C165" s="70" t="s">
        <v>188</v>
      </c>
      <c r="D165" s="74" t="s">
        <v>153</v>
      </c>
      <c r="E165" s="73">
        <v>45321</v>
      </c>
      <c r="F165" s="72" t="s">
        <v>21</v>
      </c>
      <c r="G165" s="74" t="s">
        <v>129</v>
      </c>
      <c r="H165" s="74" t="s">
        <v>154</v>
      </c>
    </row>
    <row r="166" hidden="1" spans="1:8">
      <c r="A166" s="72" t="s">
        <v>12</v>
      </c>
      <c r="B166" s="72" t="s">
        <v>7</v>
      </c>
      <c r="C166" s="68" t="s">
        <v>199</v>
      </c>
      <c r="D166" s="70" t="s">
        <v>230</v>
      </c>
      <c r="E166" s="73">
        <v>45321</v>
      </c>
      <c r="F166" s="72" t="s">
        <v>21</v>
      </c>
      <c r="G166" s="74" t="s">
        <v>159</v>
      </c>
      <c r="H166" s="74" t="s">
        <v>133</v>
      </c>
    </row>
    <row r="167" hidden="1" spans="1:8">
      <c r="A167" s="72" t="s">
        <v>12</v>
      </c>
      <c r="B167" s="72" t="s">
        <v>13</v>
      </c>
      <c r="C167" s="68" t="s">
        <v>256</v>
      </c>
      <c r="D167" s="74" t="s">
        <v>261</v>
      </c>
      <c r="E167" s="73">
        <v>45321</v>
      </c>
      <c r="F167" s="72" t="s">
        <v>16</v>
      </c>
      <c r="G167" s="74" t="s">
        <v>262</v>
      </c>
      <c r="H167" s="74" t="s">
        <v>263</v>
      </c>
    </row>
    <row r="168" hidden="1" spans="1:8">
      <c r="A168" s="72" t="s">
        <v>12</v>
      </c>
      <c r="B168" s="72" t="s">
        <v>13</v>
      </c>
      <c r="C168" s="70" t="s">
        <v>256</v>
      </c>
      <c r="D168" s="70" t="s">
        <v>266</v>
      </c>
      <c r="E168" s="73">
        <v>45350</v>
      </c>
      <c r="F168" s="72" t="s">
        <v>16</v>
      </c>
      <c r="G168" s="70" t="s">
        <v>267</v>
      </c>
      <c r="H168" s="70" t="s">
        <v>268</v>
      </c>
    </row>
    <row r="169" hidden="1" spans="1:8">
      <c r="A169" s="72" t="s">
        <v>12</v>
      </c>
      <c r="B169" s="72" t="s">
        <v>2</v>
      </c>
      <c r="C169" s="68" t="s">
        <v>102</v>
      </c>
      <c r="D169" s="74" t="s">
        <v>42</v>
      </c>
      <c r="E169" s="69">
        <v>45350</v>
      </c>
      <c r="F169" s="68" t="s">
        <v>21</v>
      </c>
      <c r="G169" s="74" t="s">
        <v>269</v>
      </c>
      <c r="H169" s="74" t="s">
        <v>37</v>
      </c>
    </row>
    <row r="170" ht="22.5" hidden="1" spans="1:8">
      <c r="A170" s="72" t="s">
        <v>12</v>
      </c>
      <c r="B170" s="72" t="s">
        <v>2</v>
      </c>
      <c r="C170" s="68" t="s">
        <v>102</v>
      </c>
      <c r="D170" s="74" t="s">
        <v>39</v>
      </c>
      <c r="E170" s="73">
        <v>45350</v>
      </c>
      <c r="F170" s="68" t="s">
        <v>21</v>
      </c>
      <c r="G170" s="74" t="s">
        <v>236</v>
      </c>
      <c r="H170" s="74" t="s">
        <v>173</v>
      </c>
    </row>
    <row r="171" hidden="1" spans="1:8">
      <c r="A171" s="72" t="s">
        <v>12</v>
      </c>
      <c r="B171" s="72" t="s">
        <v>13</v>
      </c>
      <c r="C171" s="74" t="s">
        <v>191</v>
      </c>
      <c r="D171" s="68" t="s">
        <v>196</v>
      </c>
      <c r="E171" s="73">
        <v>45350</v>
      </c>
      <c r="F171" s="68" t="s">
        <v>21</v>
      </c>
      <c r="G171" s="74" t="s">
        <v>197</v>
      </c>
      <c r="H171" s="74" t="s">
        <v>198</v>
      </c>
    </row>
    <row r="172" hidden="1" spans="1:8">
      <c r="A172" s="72" t="s">
        <v>12</v>
      </c>
      <c r="B172" s="72" t="s">
        <v>7</v>
      </c>
      <c r="C172" s="68" t="s">
        <v>199</v>
      </c>
      <c r="D172" s="74" t="s">
        <v>78</v>
      </c>
      <c r="E172" s="73">
        <v>45350</v>
      </c>
      <c r="F172" s="72" t="s">
        <v>16</v>
      </c>
      <c r="G172" s="74" t="s">
        <v>99</v>
      </c>
      <c r="H172" s="74" t="s">
        <v>80</v>
      </c>
    </row>
    <row r="173" hidden="1" spans="1:8">
      <c r="A173" s="72" t="s">
        <v>12</v>
      </c>
      <c r="B173" s="72" t="s">
        <v>2</v>
      </c>
      <c r="C173" s="68" t="s">
        <v>102</v>
      </c>
      <c r="D173" s="74" t="s">
        <v>39</v>
      </c>
      <c r="E173" s="73">
        <v>45350</v>
      </c>
      <c r="F173" s="72" t="s">
        <v>16</v>
      </c>
      <c r="G173" s="70" t="s">
        <v>264</v>
      </c>
      <c r="H173" s="74" t="s">
        <v>37</v>
      </c>
    </row>
    <row r="174" hidden="1" spans="1:8">
      <c r="A174" s="72" t="s">
        <v>12</v>
      </c>
      <c r="B174" s="72" t="s">
        <v>13</v>
      </c>
      <c r="C174" s="68" t="s">
        <v>256</v>
      </c>
      <c r="D174" s="74" t="s">
        <v>261</v>
      </c>
      <c r="E174" s="69">
        <v>45350</v>
      </c>
      <c r="F174" s="72" t="s">
        <v>16</v>
      </c>
      <c r="G174" s="74" t="s">
        <v>262</v>
      </c>
      <c r="H174" s="74" t="s">
        <v>263</v>
      </c>
    </row>
    <row r="175" ht="22.5" hidden="1" spans="1:8">
      <c r="A175" s="72" t="s">
        <v>12</v>
      </c>
      <c r="B175" s="72" t="s">
        <v>2</v>
      </c>
      <c r="C175" s="68" t="s">
        <v>102</v>
      </c>
      <c r="D175" s="74" t="s">
        <v>42</v>
      </c>
      <c r="E175" s="73">
        <v>45379</v>
      </c>
      <c r="F175" s="72" t="s">
        <v>16</v>
      </c>
      <c r="G175" s="70" t="s">
        <v>270</v>
      </c>
      <c r="H175" s="74" t="s">
        <v>37</v>
      </c>
    </row>
    <row r="176" ht="22.5" hidden="1" spans="1:8">
      <c r="A176" s="72" t="s">
        <v>12</v>
      </c>
      <c r="B176" s="72" t="s">
        <v>2</v>
      </c>
      <c r="C176" s="68" t="s">
        <v>102</v>
      </c>
      <c r="D176" s="74" t="s">
        <v>39</v>
      </c>
      <c r="E176" s="73">
        <v>45379</v>
      </c>
      <c r="F176" s="72" t="s">
        <v>16</v>
      </c>
      <c r="G176" s="70" t="s">
        <v>271</v>
      </c>
      <c r="H176" s="74" t="s">
        <v>37</v>
      </c>
    </row>
    <row r="177" hidden="1" spans="1:8">
      <c r="A177" s="72" t="s">
        <v>12</v>
      </c>
      <c r="B177" s="72" t="s">
        <v>2</v>
      </c>
      <c r="C177" s="68" t="s">
        <v>102</v>
      </c>
      <c r="D177" s="74" t="s">
        <v>39</v>
      </c>
      <c r="E177" s="73">
        <v>45379</v>
      </c>
      <c r="F177" s="72" t="s">
        <v>16</v>
      </c>
      <c r="G177" s="70" t="s">
        <v>264</v>
      </c>
      <c r="H177" s="74" t="s">
        <v>37</v>
      </c>
    </row>
    <row r="178" hidden="1" spans="1:8">
      <c r="A178" s="72" t="s">
        <v>12</v>
      </c>
      <c r="B178" s="72" t="s">
        <v>2</v>
      </c>
      <c r="C178" s="68" t="s">
        <v>102</v>
      </c>
      <c r="D178" s="74" t="s">
        <v>39</v>
      </c>
      <c r="E178" s="73">
        <v>45379</v>
      </c>
      <c r="F178" s="72" t="s">
        <v>16</v>
      </c>
      <c r="G178" s="70" t="s">
        <v>174</v>
      </c>
      <c r="H178" s="74" t="s">
        <v>173</v>
      </c>
    </row>
    <row r="179" hidden="1" spans="1:8">
      <c r="A179" s="72" t="s">
        <v>12</v>
      </c>
      <c r="B179" s="72" t="s">
        <v>2</v>
      </c>
      <c r="C179" s="68" t="s">
        <v>102</v>
      </c>
      <c r="D179" s="74" t="s">
        <v>39</v>
      </c>
      <c r="E179" s="73">
        <v>45381</v>
      </c>
      <c r="F179" s="68" t="s">
        <v>21</v>
      </c>
      <c r="G179" s="70" t="s">
        <v>272</v>
      </c>
      <c r="H179" s="74" t="s">
        <v>37</v>
      </c>
    </row>
    <row r="180" hidden="1" spans="1:8">
      <c r="A180" s="72" t="s">
        <v>12</v>
      </c>
      <c r="B180" s="72" t="s">
        <v>13</v>
      </c>
      <c r="C180" s="68" t="s">
        <v>256</v>
      </c>
      <c r="D180" s="74" t="s">
        <v>261</v>
      </c>
      <c r="E180" s="73">
        <v>45381</v>
      </c>
      <c r="F180" s="72" t="s">
        <v>16</v>
      </c>
      <c r="G180" s="74" t="s">
        <v>262</v>
      </c>
      <c r="H180" s="74" t="s">
        <v>263</v>
      </c>
    </row>
    <row r="181" hidden="1" spans="1:8">
      <c r="A181" s="72" t="s">
        <v>12</v>
      </c>
      <c r="B181" s="72" t="s">
        <v>2</v>
      </c>
      <c r="C181" s="68" t="s">
        <v>249</v>
      </c>
      <c r="D181" s="74" t="s">
        <v>273</v>
      </c>
      <c r="E181" s="73">
        <v>45473</v>
      </c>
      <c r="F181" s="72" t="s">
        <v>11</v>
      </c>
      <c r="G181" s="74" t="s">
        <v>274</v>
      </c>
      <c r="H181" s="74" t="s">
        <v>275</v>
      </c>
    </row>
    <row r="182" hidden="1" spans="1:8">
      <c r="A182" s="72" t="s">
        <v>12</v>
      </c>
      <c r="B182" s="72" t="s">
        <v>2</v>
      </c>
      <c r="C182" s="68" t="s">
        <v>214</v>
      </c>
      <c r="D182" s="74" t="s">
        <v>35</v>
      </c>
      <c r="E182" s="73">
        <v>45473</v>
      </c>
      <c r="F182" s="72" t="s">
        <v>11</v>
      </c>
      <c r="G182" s="74" t="s">
        <v>276</v>
      </c>
      <c r="H182" s="74" t="s">
        <v>145</v>
      </c>
    </row>
    <row r="183" hidden="1" spans="1:8">
      <c r="A183" s="72" t="s">
        <v>12</v>
      </c>
      <c r="B183" s="72" t="s">
        <v>13</v>
      </c>
      <c r="C183" s="70" t="s">
        <v>188</v>
      </c>
      <c r="D183" s="70" t="s">
        <v>277</v>
      </c>
      <c r="E183" s="73">
        <v>45473</v>
      </c>
      <c r="F183" s="72" t="s">
        <v>11</v>
      </c>
      <c r="G183" s="74" t="s">
        <v>243</v>
      </c>
      <c r="H183" s="74" t="s">
        <v>145</v>
      </c>
    </row>
    <row r="184" hidden="1" spans="1:8">
      <c r="A184" s="72" t="s">
        <v>12</v>
      </c>
      <c r="B184" s="72" t="s">
        <v>7</v>
      </c>
      <c r="C184" s="68" t="s">
        <v>199</v>
      </c>
      <c r="D184" s="74" t="s">
        <v>278</v>
      </c>
      <c r="E184" s="73">
        <v>45473</v>
      </c>
      <c r="F184" s="72" t="s">
        <v>11</v>
      </c>
      <c r="G184" s="74" t="s">
        <v>279</v>
      </c>
      <c r="H184" s="74" t="s">
        <v>98</v>
      </c>
    </row>
    <row r="185" hidden="1" spans="1:8">
      <c r="A185" s="72" t="s">
        <v>12</v>
      </c>
      <c r="B185" s="72" t="s">
        <v>7</v>
      </c>
      <c r="C185" s="68" t="s">
        <v>199</v>
      </c>
      <c r="D185" s="74" t="s">
        <v>81</v>
      </c>
      <c r="E185" s="73">
        <v>45473</v>
      </c>
      <c r="F185" s="72" t="s">
        <v>11</v>
      </c>
      <c r="G185" s="74" t="s">
        <v>99</v>
      </c>
      <c r="H185" s="74" t="s">
        <v>80</v>
      </c>
    </row>
    <row r="186" hidden="1" spans="1:8">
      <c r="A186" s="72" t="s">
        <v>12</v>
      </c>
      <c r="B186" s="72" t="s">
        <v>2</v>
      </c>
      <c r="C186" s="68" t="s">
        <v>214</v>
      </c>
      <c r="D186" s="74" t="s">
        <v>35</v>
      </c>
      <c r="E186" s="73">
        <v>45534</v>
      </c>
      <c r="F186" s="72" t="s">
        <v>11</v>
      </c>
      <c r="G186" s="74" t="s">
        <v>280</v>
      </c>
      <c r="H186" s="74" t="s">
        <v>37</v>
      </c>
    </row>
    <row r="187" hidden="1" spans="1:8">
      <c r="A187" s="68" t="s">
        <v>12</v>
      </c>
      <c r="B187" s="68" t="s">
        <v>2</v>
      </c>
      <c r="C187" s="68" t="s">
        <v>102</v>
      </c>
      <c r="D187" s="68" t="s">
        <v>281</v>
      </c>
      <c r="E187" s="69">
        <v>45565</v>
      </c>
      <c r="F187" s="68" t="s">
        <v>11</v>
      </c>
      <c r="G187" s="68" t="s">
        <v>282</v>
      </c>
      <c r="H187" s="68" t="s">
        <v>283</v>
      </c>
    </row>
    <row r="188" hidden="1" spans="1:8">
      <c r="A188" s="68" t="s">
        <v>12</v>
      </c>
      <c r="B188" s="68" t="s">
        <v>2</v>
      </c>
      <c r="C188" s="68" t="s">
        <v>102</v>
      </c>
      <c r="D188" s="68" t="s">
        <v>281</v>
      </c>
      <c r="E188" s="69">
        <v>45565</v>
      </c>
      <c r="F188" s="68" t="s">
        <v>11</v>
      </c>
      <c r="G188" s="68" t="s">
        <v>284</v>
      </c>
      <c r="H188" s="68" t="s">
        <v>285</v>
      </c>
    </row>
    <row r="189" hidden="1" spans="1:8">
      <c r="A189" s="68" t="s">
        <v>12</v>
      </c>
      <c r="B189" s="68" t="s">
        <v>2</v>
      </c>
      <c r="C189" s="68" t="s">
        <v>102</v>
      </c>
      <c r="D189" s="68" t="s">
        <v>281</v>
      </c>
      <c r="E189" s="69">
        <v>45565</v>
      </c>
      <c r="F189" s="68" t="s">
        <v>11</v>
      </c>
      <c r="G189" s="68" t="s">
        <v>286</v>
      </c>
      <c r="H189" s="68" t="s">
        <v>287</v>
      </c>
    </row>
    <row r="190" hidden="1" spans="1:8">
      <c r="A190" s="68" t="s">
        <v>12</v>
      </c>
      <c r="B190" s="68" t="s">
        <v>13</v>
      </c>
      <c r="C190" s="70" t="s">
        <v>188</v>
      </c>
      <c r="D190" s="68" t="s">
        <v>288</v>
      </c>
      <c r="E190" s="69">
        <v>45565</v>
      </c>
      <c r="F190" s="68" t="s">
        <v>11</v>
      </c>
      <c r="G190" s="68" t="s">
        <v>289</v>
      </c>
      <c r="H190" s="68" t="s">
        <v>241</v>
      </c>
    </row>
    <row r="191" hidden="1" spans="1:8">
      <c r="A191" s="68" t="s">
        <v>12</v>
      </c>
      <c r="B191" s="68" t="s">
        <v>13</v>
      </c>
      <c r="C191" s="70" t="s">
        <v>188</v>
      </c>
      <c r="D191" s="68" t="s">
        <v>290</v>
      </c>
      <c r="E191" s="69">
        <v>45565</v>
      </c>
      <c r="F191" s="68" t="s">
        <v>11</v>
      </c>
      <c r="G191" s="68" t="s">
        <v>291</v>
      </c>
      <c r="H191" s="68" t="s">
        <v>292</v>
      </c>
    </row>
    <row r="192" hidden="1" spans="1:8">
      <c r="A192" s="68" t="s">
        <v>12</v>
      </c>
      <c r="B192" s="68" t="s">
        <v>13</v>
      </c>
      <c r="C192" s="70" t="s">
        <v>188</v>
      </c>
      <c r="D192" s="68" t="s">
        <v>293</v>
      </c>
      <c r="E192" s="69">
        <v>45565</v>
      </c>
      <c r="F192" s="68" t="s">
        <v>11</v>
      </c>
      <c r="G192" s="68" t="s">
        <v>294</v>
      </c>
      <c r="H192" s="68" t="s">
        <v>295</v>
      </c>
    </row>
    <row r="193" hidden="1" spans="1:8">
      <c r="A193" s="68" t="s">
        <v>12</v>
      </c>
      <c r="B193" s="68" t="s">
        <v>13</v>
      </c>
      <c r="C193" s="68" t="s">
        <v>256</v>
      </c>
      <c r="D193" s="68" t="s">
        <v>296</v>
      </c>
      <c r="E193" s="69">
        <v>45565</v>
      </c>
      <c r="F193" s="68" t="s">
        <v>11</v>
      </c>
      <c r="G193" s="68" t="s">
        <v>297</v>
      </c>
      <c r="H193" s="68" t="s">
        <v>298</v>
      </c>
    </row>
    <row r="194" hidden="1" spans="1:8">
      <c r="A194" s="68" t="s">
        <v>12</v>
      </c>
      <c r="B194" s="68" t="s">
        <v>13</v>
      </c>
      <c r="C194" s="68" t="s">
        <v>191</v>
      </c>
      <c r="D194" s="68" t="s">
        <v>196</v>
      </c>
      <c r="E194" s="69">
        <v>45565</v>
      </c>
      <c r="F194" s="68" t="s">
        <v>11</v>
      </c>
      <c r="G194" s="68" t="s">
        <v>299</v>
      </c>
      <c r="H194" s="68" t="s">
        <v>198</v>
      </c>
    </row>
    <row r="195" hidden="1" spans="1:8">
      <c r="A195" s="72" t="s">
        <v>12</v>
      </c>
      <c r="B195" s="72" t="s">
        <v>13</v>
      </c>
      <c r="C195" s="68" t="s">
        <v>256</v>
      </c>
      <c r="D195" s="74" t="s">
        <v>179</v>
      </c>
      <c r="E195" s="69">
        <v>45565</v>
      </c>
      <c r="F195" s="72" t="s">
        <v>11</v>
      </c>
      <c r="G195" s="74" t="s">
        <v>180</v>
      </c>
      <c r="H195" s="74" t="s">
        <v>95</v>
      </c>
    </row>
    <row r="196" hidden="1" spans="1:8">
      <c r="A196" s="68" t="s">
        <v>12</v>
      </c>
      <c r="B196" s="68" t="s">
        <v>7</v>
      </c>
      <c r="C196" s="68" t="s">
        <v>300</v>
      </c>
      <c r="D196" s="68" t="s">
        <v>300</v>
      </c>
      <c r="E196" s="69">
        <v>45565</v>
      </c>
      <c r="F196" s="68" t="s">
        <v>11</v>
      </c>
      <c r="G196" s="68" t="s">
        <v>301</v>
      </c>
      <c r="H196" s="68" t="s">
        <v>98</v>
      </c>
    </row>
    <row r="197" hidden="1" spans="1:8">
      <c r="A197" s="68" t="s">
        <v>12</v>
      </c>
      <c r="B197" s="68" t="s">
        <v>7</v>
      </c>
      <c r="C197" s="68" t="s">
        <v>201</v>
      </c>
      <c r="D197" s="68" t="s">
        <v>302</v>
      </c>
      <c r="E197" s="69">
        <v>45565</v>
      </c>
      <c r="F197" s="68" t="s">
        <v>11</v>
      </c>
      <c r="G197" s="68" t="s">
        <v>303</v>
      </c>
      <c r="H197" s="68" t="s">
        <v>304</v>
      </c>
    </row>
    <row r="198" hidden="1" spans="1:8">
      <c r="A198" s="68" t="s">
        <v>12</v>
      </c>
      <c r="B198" s="68" t="s">
        <v>13</v>
      </c>
      <c r="C198" s="68" t="s">
        <v>256</v>
      </c>
      <c r="D198" s="68" t="s">
        <v>305</v>
      </c>
      <c r="E198" s="69">
        <v>45656</v>
      </c>
      <c r="F198" s="68" t="s">
        <v>11</v>
      </c>
      <c r="G198" s="68" t="s">
        <v>306</v>
      </c>
      <c r="H198" s="68" t="s">
        <v>307</v>
      </c>
    </row>
    <row r="199" ht="22.5" hidden="1" spans="1:8">
      <c r="A199" s="72" t="s">
        <v>12</v>
      </c>
      <c r="B199" s="72" t="s">
        <v>2</v>
      </c>
      <c r="C199" s="68" t="s">
        <v>102</v>
      </c>
      <c r="D199" s="74" t="s">
        <v>254</v>
      </c>
      <c r="E199" s="73">
        <v>45656</v>
      </c>
      <c r="F199" s="68" t="s">
        <v>11</v>
      </c>
      <c r="G199" s="74" t="s">
        <v>232</v>
      </c>
      <c r="H199" s="74" t="s">
        <v>233</v>
      </c>
    </row>
    <row r="200" hidden="1" spans="1:8">
      <c r="A200" s="68" t="s">
        <v>12</v>
      </c>
      <c r="B200" s="68" t="s">
        <v>2</v>
      </c>
      <c r="C200" s="68" t="s">
        <v>102</v>
      </c>
      <c r="D200" s="68" t="s">
        <v>308</v>
      </c>
      <c r="E200" s="69">
        <v>45656</v>
      </c>
      <c r="F200" s="68" t="s">
        <v>11</v>
      </c>
      <c r="G200" s="68" t="s">
        <v>309</v>
      </c>
      <c r="H200" s="68" t="s">
        <v>310</v>
      </c>
    </row>
    <row r="201" hidden="1" spans="1:8">
      <c r="A201" s="72" t="s">
        <v>12</v>
      </c>
      <c r="B201" s="72" t="s">
        <v>2</v>
      </c>
      <c r="C201" s="68" t="s">
        <v>249</v>
      </c>
      <c r="D201" s="74" t="s">
        <v>273</v>
      </c>
      <c r="E201" s="69">
        <v>45656</v>
      </c>
      <c r="F201" s="72" t="s">
        <v>11</v>
      </c>
      <c r="G201" s="74" t="s">
        <v>311</v>
      </c>
      <c r="H201" s="74" t="s">
        <v>312</v>
      </c>
    </row>
    <row r="202" hidden="1" spans="1:8">
      <c r="A202" s="68" t="s">
        <v>12</v>
      </c>
      <c r="B202" s="68" t="s">
        <v>13</v>
      </c>
      <c r="C202" s="68" t="s">
        <v>191</v>
      </c>
      <c r="D202" s="74" t="s">
        <v>313</v>
      </c>
      <c r="E202" s="69">
        <v>45656</v>
      </c>
      <c r="F202" s="68" t="s">
        <v>11</v>
      </c>
      <c r="G202" s="74" t="s">
        <v>314</v>
      </c>
      <c r="H202" s="74" t="s">
        <v>315</v>
      </c>
    </row>
    <row r="203" ht="22.5" hidden="1" spans="1:8">
      <c r="A203" s="72" t="s">
        <v>12</v>
      </c>
      <c r="B203" s="72" t="s">
        <v>7</v>
      </c>
      <c r="C203" s="68" t="s">
        <v>199</v>
      </c>
      <c r="D203" s="74" t="s">
        <v>316</v>
      </c>
      <c r="E203" s="73">
        <v>45656</v>
      </c>
      <c r="F203" s="72" t="s">
        <v>11</v>
      </c>
      <c r="G203" s="74" t="s">
        <v>317</v>
      </c>
      <c r="H203" s="74" t="s">
        <v>98</v>
      </c>
    </row>
    <row r="204" hidden="1" spans="1:8">
      <c r="A204" s="68" t="s">
        <v>12</v>
      </c>
      <c r="B204" s="68" t="s">
        <v>18</v>
      </c>
      <c r="C204" s="68" t="s">
        <v>218</v>
      </c>
      <c r="D204" s="68" t="s">
        <v>318</v>
      </c>
      <c r="E204" s="69">
        <v>45656</v>
      </c>
      <c r="F204" s="68" t="s">
        <v>11</v>
      </c>
      <c r="G204" s="68" t="s">
        <v>319</v>
      </c>
      <c r="H204" s="68" t="s">
        <v>95</v>
      </c>
    </row>
    <row r="205" hidden="1" spans="1:8">
      <c r="A205" s="68" t="s">
        <v>12</v>
      </c>
      <c r="B205" s="68" t="s">
        <v>18</v>
      </c>
      <c r="C205" s="68" t="s">
        <v>218</v>
      </c>
      <c r="D205" s="68" t="s">
        <v>320</v>
      </c>
      <c r="E205" s="69">
        <v>45656</v>
      </c>
      <c r="F205" s="68" t="s">
        <v>11</v>
      </c>
      <c r="G205" s="68" t="s">
        <v>260</v>
      </c>
      <c r="H205" s="68" t="s">
        <v>59</v>
      </c>
    </row>
    <row r="206" hidden="1" spans="1:8">
      <c r="A206" s="68" t="s">
        <v>12</v>
      </c>
      <c r="B206" s="68" t="s">
        <v>13</v>
      </c>
      <c r="C206" s="70" t="s">
        <v>188</v>
      </c>
      <c r="D206" s="68" t="s">
        <v>293</v>
      </c>
      <c r="E206" s="69">
        <v>45930</v>
      </c>
      <c r="F206" s="68" t="s">
        <v>11</v>
      </c>
      <c r="G206" s="68" t="s">
        <v>321</v>
      </c>
      <c r="H206" s="68" t="s">
        <v>295</v>
      </c>
    </row>
    <row r="207" hidden="1" spans="1:8">
      <c r="A207" s="68" t="s">
        <v>12</v>
      </c>
      <c r="B207" s="68" t="s">
        <v>2</v>
      </c>
      <c r="C207" s="68" t="s">
        <v>249</v>
      </c>
      <c r="D207" s="68" t="s">
        <v>322</v>
      </c>
      <c r="E207" s="69">
        <v>45930</v>
      </c>
      <c r="F207" s="68" t="s">
        <v>11</v>
      </c>
      <c r="G207" s="68" t="s">
        <v>323</v>
      </c>
      <c r="H207" s="68" t="s">
        <v>324</v>
      </c>
    </row>
    <row r="208" hidden="1" spans="1:8">
      <c r="A208" s="68" t="s">
        <v>12</v>
      </c>
      <c r="B208" s="68" t="s">
        <v>2</v>
      </c>
      <c r="C208" s="68" t="s">
        <v>102</v>
      </c>
      <c r="D208" s="68" t="s">
        <v>308</v>
      </c>
      <c r="E208" s="69">
        <v>45930</v>
      </c>
      <c r="F208" s="68" t="s">
        <v>11</v>
      </c>
      <c r="G208" s="68" t="s">
        <v>325</v>
      </c>
      <c r="H208" s="68" t="s">
        <v>310</v>
      </c>
    </row>
    <row r="209" ht="22.5" hidden="1" spans="1:8">
      <c r="A209" s="72" t="s">
        <v>12</v>
      </c>
      <c r="B209" s="72" t="s">
        <v>2</v>
      </c>
      <c r="C209" s="68" t="s">
        <v>102</v>
      </c>
      <c r="D209" s="74" t="s">
        <v>326</v>
      </c>
      <c r="E209" s="69">
        <v>46021</v>
      </c>
      <c r="F209" s="72" t="s">
        <v>11</v>
      </c>
      <c r="G209" s="74" t="s">
        <v>232</v>
      </c>
      <c r="H209" s="74" t="s">
        <v>233</v>
      </c>
    </row>
    <row r="210" hidden="1" spans="1:8">
      <c r="A210" s="68" t="s">
        <v>12</v>
      </c>
      <c r="B210" s="68" t="s">
        <v>2</v>
      </c>
      <c r="C210" s="68" t="s">
        <v>102</v>
      </c>
      <c r="D210" s="68" t="s">
        <v>327</v>
      </c>
      <c r="E210" s="69">
        <v>46295</v>
      </c>
      <c r="F210" s="68" t="s">
        <v>5</v>
      </c>
      <c r="G210" s="68" t="s">
        <v>328</v>
      </c>
      <c r="H210" s="68" t="s">
        <v>329</v>
      </c>
    </row>
    <row r="211" hidden="1" spans="1:8">
      <c r="A211" s="68" t="s">
        <v>12</v>
      </c>
      <c r="B211" s="68" t="s">
        <v>2</v>
      </c>
      <c r="C211" s="68" t="s">
        <v>102</v>
      </c>
      <c r="D211" s="68" t="s">
        <v>330</v>
      </c>
      <c r="E211" s="69">
        <v>46295</v>
      </c>
      <c r="F211" s="68" t="s">
        <v>5</v>
      </c>
      <c r="G211" s="68" t="s">
        <v>331</v>
      </c>
      <c r="H211" s="68" t="s">
        <v>332</v>
      </c>
    </row>
    <row r="212" hidden="1" spans="1:8">
      <c r="A212" s="68" t="s">
        <v>12</v>
      </c>
      <c r="B212" s="68" t="s">
        <v>2</v>
      </c>
      <c r="C212" s="68" t="s">
        <v>102</v>
      </c>
      <c r="D212" s="68" t="s">
        <v>333</v>
      </c>
      <c r="E212" s="69">
        <v>46295</v>
      </c>
      <c r="F212" s="68" t="s">
        <v>5</v>
      </c>
      <c r="G212" s="68" t="s">
        <v>334</v>
      </c>
      <c r="H212" s="68" t="s">
        <v>335</v>
      </c>
    </row>
    <row r="213" hidden="1" spans="1:8">
      <c r="A213" s="68" t="s">
        <v>12</v>
      </c>
      <c r="B213" s="68" t="s">
        <v>2</v>
      </c>
      <c r="C213" s="68" t="s">
        <v>214</v>
      </c>
      <c r="D213" s="68" t="s">
        <v>336</v>
      </c>
      <c r="E213" s="69">
        <v>46295</v>
      </c>
      <c r="F213" s="68" t="s">
        <v>5</v>
      </c>
      <c r="G213" s="68" t="s">
        <v>337</v>
      </c>
      <c r="H213" s="68" t="s">
        <v>338</v>
      </c>
    </row>
    <row r="214" hidden="1" spans="1:8">
      <c r="A214" s="68" t="s">
        <v>12</v>
      </c>
      <c r="B214" s="68" t="s">
        <v>2</v>
      </c>
      <c r="C214" s="68" t="s">
        <v>249</v>
      </c>
      <c r="D214" s="68" t="s">
        <v>339</v>
      </c>
      <c r="E214" s="69">
        <v>46295</v>
      </c>
      <c r="F214" s="68" t="s">
        <v>5</v>
      </c>
      <c r="G214" s="68" t="s">
        <v>323</v>
      </c>
      <c r="H214" s="68" t="s">
        <v>324</v>
      </c>
    </row>
    <row r="215" hidden="1" spans="1:8">
      <c r="A215" s="68" t="s">
        <v>12</v>
      </c>
      <c r="B215" s="68" t="s">
        <v>13</v>
      </c>
      <c r="C215" s="68" t="s">
        <v>340</v>
      </c>
      <c r="D215" s="68" t="s">
        <v>340</v>
      </c>
      <c r="E215" s="69">
        <v>46295</v>
      </c>
      <c r="F215" s="68" t="s">
        <v>5</v>
      </c>
      <c r="G215" s="68" t="s">
        <v>341</v>
      </c>
      <c r="H215" s="68" t="s">
        <v>59</v>
      </c>
    </row>
    <row r="216" hidden="1" spans="1:8">
      <c r="A216" s="68" t="s">
        <v>12</v>
      </c>
      <c r="B216" s="68" t="s">
        <v>13</v>
      </c>
      <c r="C216" s="68" t="s">
        <v>191</v>
      </c>
      <c r="D216" s="68" t="s">
        <v>342</v>
      </c>
      <c r="E216" s="69">
        <v>46295</v>
      </c>
      <c r="F216" s="68" t="s">
        <v>5</v>
      </c>
      <c r="G216" s="68" t="s">
        <v>343</v>
      </c>
      <c r="H216" s="68" t="s">
        <v>344</v>
      </c>
    </row>
    <row r="217" hidden="1" spans="1:8">
      <c r="A217" s="68" t="s">
        <v>12</v>
      </c>
      <c r="B217" s="68" t="s">
        <v>13</v>
      </c>
      <c r="C217" s="68" t="s">
        <v>191</v>
      </c>
      <c r="D217" s="68" t="s">
        <v>342</v>
      </c>
      <c r="E217" s="69">
        <v>46295</v>
      </c>
      <c r="F217" s="68" t="s">
        <v>5</v>
      </c>
      <c r="G217" s="68" t="s">
        <v>345</v>
      </c>
      <c r="H217" s="68" t="s">
        <v>59</v>
      </c>
    </row>
    <row r="218" hidden="1" spans="1:8">
      <c r="A218" s="68" t="s">
        <v>12</v>
      </c>
      <c r="B218" s="68" t="s">
        <v>13</v>
      </c>
      <c r="C218" s="68" t="s">
        <v>191</v>
      </c>
      <c r="D218" s="68" t="s">
        <v>196</v>
      </c>
      <c r="E218" s="69">
        <v>46295</v>
      </c>
      <c r="F218" s="68" t="s">
        <v>5</v>
      </c>
      <c r="G218" s="68" t="s">
        <v>299</v>
      </c>
      <c r="H218" s="68" t="s">
        <v>198</v>
      </c>
    </row>
    <row r="219" hidden="1" spans="1:8">
      <c r="A219" s="68" t="s">
        <v>12</v>
      </c>
      <c r="B219" s="68" t="s">
        <v>13</v>
      </c>
      <c r="C219" s="68" t="s">
        <v>191</v>
      </c>
      <c r="D219" s="68" t="s">
        <v>346</v>
      </c>
      <c r="E219" s="69">
        <v>46295</v>
      </c>
      <c r="F219" s="68" t="s">
        <v>5</v>
      </c>
      <c r="G219" s="68" t="s">
        <v>347</v>
      </c>
      <c r="H219" s="68" t="s">
        <v>74</v>
      </c>
    </row>
    <row r="220" hidden="1" spans="1:8">
      <c r="A220" s="68" t="s">
        <v>12</v>
      </c>
      <c r="B220" s="68" t="s">
        <v>13</v>
      </c>
      <c r="C220" s="68" t="s">
        <v>191</v>
      </c>
      <c r="D220" s="68" t="s">
        <v>348</v>
      </c>
      <c r="E220" s="69">
        <v>46295</v>
      </c>
      <c r="F220" s="68" t="s">
        <v>5</v>
      </c>
      <c r="G220" s="68" t="s">
        <v>349</v>
      </c>
      <c r="H220" s="68" t="s">
        <v>350</v>
      </c>
    </row>
    <row r="221" hidden="1" spans="1:8">
      <c r="A221" s="68" t="s">
        <v>12</v>
      </c>
      <c r="B221" s="68" t="s">
        <v>13</v>
      </c>
      <c r="C221" s="68" t="s">
        <v>191</v>
      </c>
      <c r="D221" s="68" t="s">
        <v>348</v>
      </c>
      <c r="E221" s="69">
        <v>46295</v>
      </c>
      <c r="F221" s="68" t="s">
        <v>5</v>
      </c>
      <c r="G221" s="68" t="s">
        <v>351</v>
      </c>
      <c r="H221" s="68" t="s">
        <v>352</v>
      </c>
    </row>
    <row r="222" hidden="1" spans="1:8">
      <c r="A222" s="68" t="s">
        <v>12</v>
      </c>
      <c r="B222" s="68" t="s">
        <v>13</v>
      </c>
      <c r="C222" s="68" t="s">
        <v>191</v>
      </c>
      <c r="D222" s="68" t="s">
        <v>348</v>
      </c>
      <c r="E222" s="69">
        <v>46295</v>
      </c>
      <c r="F222" s="68" t="s">
        <v>5</v>
      </c>
      <c r="G222" s="68" t="s">
        <v>353</v>
      </c>
      <c r="H222" s="68" t="s">
        <v>354</v>
      </c>
    </row>
    <row r="223" hidden="1" spans="1:8">
      <c r="A223" s="68" t="s">
        <v>12</v>
      </c>
      <c r="B223" s="68" t="s">
        <v>13</v>
      </c>
      <c r="C223" s="70" t="s">
        <v>188</v>
      </c>
      <c r="D223" s="68" t="s">
        <v>355</v>
      </c>
      <c r="E223" s="69">
        <v>46295</v>
      </c>
      <c r="F223" s="68" t="s">
        <v>5</v>
      </c>
      <c r="G223" s="68" t="s">
        <v>356</v>
      </c>
      <c r="H223" s="68" t="s">
        <v>292</v>
      </c>
    </row>
    <row r="224" hidden="1" spans="1:8">
      <c r="A224" s="68" t="s">
        <v>12</v>
      </c>
      <c r="B224" s="68" t="s">
        <v>13</v>
      </c>
      <c r="C224" s="70" t="s">
        <v>188</v>
      </c>
      <c r="D224" s="68" t="s">
        <v>357</v>
      </c>
      <c r="E224" s="69">
        <v>46295</v>
      </c>
      <c r="F224" s="68" t="s">
        <v>5</v>
      </c>
      <c r="G224" s="68" t="s">
        <v>358</v>
      </c>
      <c r="H224" s="68" t="s">
        <v>292</v>
      </c>
    </row>
    <row r="225" hidden="1" spans="1:8">
      <c r="A225" s="68" t="s">
        <v>12</v>
      </c>
      <c r="B225" s="68" t="s">
        <v>13</v>
      </c>
      <c r="C225" s="70" t="s">
        <v>188</v>
      </c>
      <c r="D225" s="68" t="s">
        <v>359</v>
      </c>
      <c r="E225" s="69">
        <v>46295</v>
      </c>
      <c r="F225" s="68" t="s">
        <v>5</v>
      </c>
      <c r="G225" s="68" t="s">
        <v>358</v>
      </c>
      <c r="H225" s="68" t="s">
        <v>292</v>
      </c>
    </row>
    <row r="226" hidden="1" spans="1:8">
      <c r="A226" s="68" t="s">
        <v>12</v>
      </c>
      <c r="B226" s="68" t="s">
        <v>13</v>
      </c>
      <c r="C226" s="70" t="s">
        <v>188</v>
      </c>
      <c r="D226" s="68" t="s">
        <v>360</v>
      </c>
      <c r="E226" s="69">
        <v>46295</v>
      </c>
      <c r="F226" s="68" t="s">
        <v>5</v>
      </c>
      <c r="G226" s="68" t="s">
        <v>361</v>
      </c>
      <c r="H226" s="68" t="s">
        <v>362</v>
      </c>
    </row>
    <row r="227" hidden="1" spans="1:8">
      <c r="A227" s="68" t="s">
        <v>12</v>
      </c>
      <c r="B227" s="68" t="s">
        <v>13</v>
      </c>
      <c r="C227" s="68" t="s">
        <v>256</v>
      </c>
      <c r="D227" s="68" t="s">
        <v>363</v>
      </c>
      <c r="E227" s="69">
        <v>46295</v>
      </c>
      <c r="F227" s="68" t="s">
        <v>5</v>
      </c>
      <c r="G227" s="68" t="s">
        <v>364</v>
      </c>
      <c r="H227" s="68" t="s">
        <v>95</v>
      </c>
    </row>
    <row r="228" hidden="1" spans="1:8">
      <c r="A228" s="68" t="s">
        <v>12</v>
      </c>
      <c r="B228" s="68" t="s">
        <v>13</v>
      </c>
      <c r="C228" s="70" t="s">
        <v>188</v>
      </c>
      <c r="D228" s="68" t="s">
        <v>365</v>
      </c>
      <c r="E228" s="69">
        <v>46295</v>
      </c>
      <c r="F228" s="68" t="s">
        <v>5</v>
      </c>
      <c r="G228" s="68" t="s">
        <v>289</v>
      </c>
      <c r="H228" s="68" t="s">
        <v>241</v>
      </c>
    </row>
    <row r="229" hidden="1" spans="1:8">
      <c r="A229" s="68" t="s">
        <v>12</v>
      </c>
      <c r="B229" s="68" t="s">
        <v>7</v>
      </c>
      <c r="C229" s="68" t="s">
        <v>201</v>
      </c>
      <c r="D229" s="68" t="s">
        <v>201</v>
      </c>
      <c r="E229" s="69">
        <v>46295</v>
      </c>
      <c r="F229" s="68" t="s">
        <v>5</v>
      </c>
      <c r="G229" s="68" t="s">
        <v>366</v>
      </c>
      <c r="H229" s="68" t="s">
        <v>367</v>
      </c>
    </row>
    <row r="230" hidden="1" spans="1:8">
      <c r="A230" s="68" t="s">
        <v>12</v>
      </c>
      <c r="B230" s="68" t="s">
        <v>7</v>
      </c>
      <c r="C230" s="68" t="s">
        <v>199</v>
      </c>
      <c r="D230" s="68" t="s">
        <v>199</v>
      </c>
      <c r="E230" s="69">
        <v>46295</v>
      </c>
      <c r="F230" s="68" t="s">
        <v>5</v>
      </c>
      <c r="G230" s="68" t="s">
        <v>368</v>
      </c>
      <c r="H230" s="68" t="s">
        <v>98</v>
      </c>
    </row>
    <row r="231" hidden="1" spans="1:8">
      <c r="A231" s="68" t="s">
        <v>12</v>
      </c>
      <c r="B231" s="68" t="s">
        <v>18</v>
      </c>
      <c r="C231" s="68" t="s">
        <v>218</v>
      </c>
      <c r="D231" s="68" t="s">
        <v>369</v>
      </c>
      <c r="E231" s="69">
        <v>46295</v>
      </c>
      <c r="F231" s="68" t="s">
        <v>5</v>
      </c>
      <c r="G231" s="68" t="s">
        <v>370</v>
      </c>
      <c r="H231" s="68" t="s">
        <v>59</v>
      </c>
    </row>
    <row r="232" hidden="1" spans="1:8">
      <c r="A232" s="68" t="s">
        <v>12</v>
      </c>
      <c r="B232" s="68" t="s">
        <v>18</v>
      </c>
      <c r="C232" s="68" t="s">
        <v>218</v>
      </c>
      <c r="D232" s="68" t="s">
        <v>371</v>
      </c>
      <c r="E232" s="69">
        <v>46295</v>
      </c>
      <c r="F232" s="68" t="s">
        <v>5</v>
      </c>
      <c r="G232" s="68" t="s">
        <v>260</v>
      </c>
      <c r="H232" s="68" t="s">
        <v>59</v>
      </c>
    </row>
    <row r="233" hidden="1" spans="1:8">
      <c r="A233" s="68" t="s">
        <v>12</v>
      </c>
      <c r="B233" s="68" t="s">
        <v>18</v>
      </c>
      <c r="C233" s="68" t="s">
        <v>218</v>
      </c>
      <c r="D233" s="68" t="s">
        <v>372</v>
      </c>
      <c r="E233" s="69">
        <v>46386</v>
      </c>
      <c r="F233" s="68" t="s">
        <v>5</v>
      </c>
      <c r="G233" s="68" t="s">
        <v>319</v>
      </c>
      <c r="H233" s="68" t="s">
        <v>95</v>
      </c>
    </row>
  </sheetData>
  <conditionalFormatting sqref="C9:D9">
    <cfRule type="expression" dxfId="8" priority="72">
      <formula>IF($A9="CONCLUÍDO",1,0)</formula>
    </cfRule>
    <cfRule type="expression" dxfId="9" priority="73">
      <formula>IF($A9=$A$3,1,0)</formula>
    </cfRule>
  </conditionalFormatting>
  <conditionalFormatting sqref="G20">
    <cfRule type="expression" dxfId="8" priority="394">
      <formula>IF($A20="CONCLUÍDO",1,0)</formula>
    </cfRule>
    <cfRule type="expression" dxfId="9" priority="395">
      <formula>IF($A20=$A$3,1,0)</formula>
    </cfRule>
  </conditionalFormatting>
  <conditionalFormatting sqref="G35:H35">
    <cfRule type="expression" dxfId="8" priority="248">
      <formula>IF($A35="CONCLUÍDO",1,0)</formula>
    </cfRule>
    <cfRule type="expression" dxfId="9" priority="249">
      <formula>IF($A35=$A$3,1,0)</formula>
    </cfRule>
  </conditionalFormatting>
  <conditionalFormatting sqref="D40">
    <cfRule type="expression" dxfId="8" priority="9">
      <formula>IF($A40="CONCLUÍDO",1,0)</formula>
    </cfRule>
    <cfRule type="expression" dxfId="9" priority="10">
      <formula>IF($A40=$A$3,1,0)</formula>
    </cfRule>
    <cfRule type="expression" dxfId="8" priority="36">
      <formula>IF($A40="CONCLUÍDO",1,0)</formula>
    </cfRule>
    <cfRule type="expression" dxfId="9" priority="37">
      <formula>IF($A40=$A$3,1,0)</formula>
    </cfRule>
    <cfRule type="expression" dxfId="10" priority="42">
      <formula>IF($A40=$A$5,1,0)</formula>
    </cfRule>
  </conditionalFormatting>
  <conditionalFormatting sqref="G40">
    <cfRule type="expression" dxfId="8" priority="11">
      <formula>IF($A40="CONCLUÍDO",1,0)</formula>
    </cfRule>
    <cfRule type="expression" dxfId="9" priority="12">
      <formula>IF($A40=$A$3,1,0)</formula>
    </cfRule>
    <cfRule type="expression" dxfId="10" priority="13">
      <formula>IF($A40=$A$5,1,0)</formula>
    </cfRule>
  </conditionalFormatting>
  <conditionalFormatting sqref="E44">
    <cfRule type="expression" dxfId="8" priority="114">
      <formula>IF($A44="CONCLUÍDO",1,0)</formula>
    </cfRule>
  </conditionalFormatting>
  <conditionalFormatting sqref="D46">
    <cfRule type="expression" dxfId="9" priority="38">
      <formula>IF($A46=$A$3,1,0)</formula>
    </cfRule>
  </conditionalFormatting>
  <conditionalFormatting sqref="B74">
    <cfRule type="expression" dxfId="8" priority="20">
      <formula>IF($A74="CONCLUÍDO",1,0)</formula>
    </cfRule>
    <cfRule type="expression" dxfId="9" priority="21">
      <formula>IF($A74=$A$3,1,0)</formula>
    </cfRule>
  </conditionalFormatting>
  <conditionalFormatting sqref="D74">
    <cfRule type="expression" dxfId="9" priority="18">
      <formula>IF($A74=$A$3,1,0)</formula>
    </cfRule>
  </conditionalFormatting>
  <conditionalFormatting sqref="D75">
    <cfRule type="expression" dxfId="9" priority="25">
      <formula>IF($A75=$A$3,1,0)</formula>
    </cfRule>
  </conditionalFormatting>
  <conditionalFormatting sqref="E75">
    <cfRule type="expression" dxfId="8" priority="23">
      <formula>IF($A75="CONCLUÍDO",1,0)</formula>
    </cfRule>
  </conditionalFormatting>
  <conditionalFormatting sqref="D78">
    <cfRule type="expression" dxfId="8" priority="26">
      <formula>IF($A78="CONCLUÍDO",1,0)</formula>
    </cfRule>
    <cfRule type="expression" dxfId="9" priority="27">
      <formula>IF($A78=$A$3,1,0)</formula>
    </cfRule>
  </conditionalFormatting>
  <conditionalFormatting sqref="G104:H104">
    <cfRule type="expression" dxfId="9" priority="7">
      <formula>IF($A104=$A$3,1,0)</formula>
    </cfRule>
    <cfRule type="expression" dxfId="8" priority="8">
      <formula>IF($A104="CONCLUÍDO",1,0)</formula>
    </cfRule>
  </conditionalFormatting>
  <conditionalFormatting sqref="G105:H105">
    <cfRule type="expression" dxfId="9" priority="5">
      <formula>IF($A105=$A$3,1,0)</formula>
    </cfRule>
    <cfRule type="expression" dxfId="8" priority="6">
      <formula>IF($A105="CONCLUÍDO",1,0)</formula>
    </cfRule>
  </conditionalFormatting>
  <conditionalFormatting sqref="B40:B65">
    <cfRule type="expression" dxfId="8" priority="284">
      <formula>IF($A40="CONCLUÍDO",1,0)</formula>
    </cfRule>
    <cfRule type="expression" dxfId="9" priority="285">
      <formula>IF($A40=$A$3,1,0)</formula>
    </cfRule>
  </conditionalFormatting>
  <conditionalFormatting sqref="B41:B42">
    <cfRule type="expression" dxfId="8" priority="203">
      <formula>IF($A41="CONCLUÍDO",1,0)</formula>
    </cfRule>
    <cfRule type="expression" dxfId="9" priority="204">
      <formula>IF($A41=$A$3,1,0)</formula>
    </cfRule>
  </conditionalFormatting>
  <conditionalFormatting sqref="D74:D75">
    <cfRule type="expression" dxfId="8" priority="19">
      <formula>IF($A74="CONCLUÍDO",1,0)</formula>
    </cfRule>
  </conditionalFormatting>
  <conditionalFormatting sqref="E74:E75">
    <cfRule type="expression" dxfId="9" priority="22">
      <formula>IF($A74=$A$3,1,0)</formula>
    </cfRule>
  </conditionalFormatting>
  <conditionalFormatting sqref="F41:F42">
    <cfRule type="expression" dxfId="8" priority="67">
      <formula>IF($A41="CONCLUÍDO",1,0)</formula>
    </cfRule>
    <cfRule type="expression" dxfId="9" priority="68">
      <formula>IF($A41=$A$3,1,0)</formula>
    </cfRule>
  </conditionalFormatting>
  <conditionalFormatting sqref="H30:H32">
    <cfRule type="expression" dxfId="8" priority="368">
      <formula>IF($A30="CONCLUÍDO",1,0)</formula>
    </cfRule>
    <cfRule type="expression" dxfId="9" priority="369">
      <formula>IF($A30=$A$3,1,0)</formula>
    </cfRule>
  </conditionalFormatting>
  <conditionalFormatting sqref="B41:C47;F9:H47;D41:E43;E43:E47;B48:H49;E50:H65;B9:E40;D44:D47;D50:D51;C50:C57;B50:B65;C52:D65;B66:H233">
    <cfRule type="expression" dxfId="10" priority="245">
      <formula>IF($A9=$A$5,1,0)</formula>
    </cfRule>
  </conditionalFormatting>
  <conditionalFormatting sqref="B9:E40;E14:F14;E20:F20;E26:F26;D40:G40;D41:E43">
    <cfRule type="expression" dxfId="8" priority="406">
      <formula>IF($A9="CONCLUÍDO",1,0)</formula>
    </cfRule>
    <cfRule type="expression" dxfId="9" priority="407">
      <formula>IF($A9=$A$3,1,0)</formula>
    </cfRule>
  </conditionalFormatting>
  <conditionalFormatting sqref="F9:F47;B20;H20;C41:C45;C46:D47;C48:F48;C49:D65;F49:F65;E52:E53;E55:E65;B66:G66;B67:F73;C74:D74;F74;B75:H75;B76:F77;B78:H78;B79:F100;B101:H103">
    <cfRule type="expression" dxfId="8" priority="400">
      <formula>IF($A9="CONCLUÍDO",1,0)</formula>
    </cfRule>
    <cfRule type="expression" dxfId="9" priority="401">
      <formula>IF($A9=$A$3,1,0)</formula>
    </cfRule>
  </conditionalFormatting>
  <conditionalFormatting sqref="G9:H74;E43:E47;E49:E54;E74;G76:H77;G79:H100">
    <cfRule type="expression" dxfId="8" priority="466">
      <formula>IF($A9="CONCLUÍDO",1,0)</formula>
    </cfRule>
  </conditionalFormatting>
  <conditionalFormatting sqref="G9:H43">
    <cfRule type="expression" dxfId="9" priority="467">
      <formula>IF($A9=$A$3,1,0)</formula>
    </cfRule>
  </conditionalFormatting>
  <conditionalFormatting sqref="B26;B143:F145;B146:H146;B147:F147;B117:H142;B148:H233;B104:F116">
    <cfRule type="expression" dxfId="8" priority="384">
      <formula>IF($A26="CONCLUÍDO",1,0)</formula>
    </cfRule>
    <cfRule type="expression" dxfId="9" priority="385">
      <formula>IF($A26=$A$3,1,0)</formula>
    </cfRule>
  </conditionalFormatting>
  <conditionalFormatting sqref="E43:E47;G44:H74;E49:E54;G76:H77;G79:H100">
    <cfRule type="expression" dxfId="9" priority="115">
      <formula>IF($A43=$A$3,1,0)</formula>
    </cfRule>
  </conditionalFormatting>
  <conditionalFormatting sqref="D44:D45;G106:H116">
    <cfRule type="expression" dxfId="9" priority="71">
      <formula>IF($A44=$A$3,1,0)</formula>
    </cfRule>
  </conditionalFormatting>
  <conditionalFormatting sqref="D44:D46;G106:H116">
    <cfRule type="expression" dxfId="8" priority="39">
      <formula>IF($A44="CONCLUÍDO",1,0)</formula>
    </cfRule>
  </conditionalFormatting>
  <conditionalFormatting sqref="G143:H145;G147:H147">
    <cfRule type="expression" dxfId="9" priority="14">
      <formula>IF($A143=$A$3,1,0)</formula>
    </cfRule>
    <cfRule type="expression" dxfId="8" priority="17">
      <formula>IF($A143="CONCLUÍDO",1,0)</formula>
    </cfRule>
  </conditionalFormatting>
  <dataValidations count="3">
    <dataValidation type="list" allowBlank="1" showInputMessage="1" showErrorMessage="1" sqref="A9:A233">
      <formula1>$A$1:$A$5</formula1>
    </dataValidation>
    <dataValidation type="list" allowBlank="1" showInputMessage="1" showErrorMessage="1" sqref="B9:B233">
      <formula1>$B$1:$B$5</formula1>
    </dataValidation>
    <dataValidation type="list" allowBlank="1" showInputMessage="1" showErrorMessage="1" sqref="F9:F233">
      <formula1>$XFC$2:$XFC$8</formula1>
    </dataValidation>
  </dataValidations>
  <pageMargins left="0.7" right="0.7" top="0.75" bottom="0.75" header="0.3" footer="0.3"/>
  <pageSetup paperSize="9"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145"/>
  <sheetViews>
    <sheetView topLeftCell="B44" workbookViewId="0">
      <selection activeCell="C52" sqref="C52:D73"/>
    </sheetView>
  </sheetViews>
  <sheetFormatPr defaultColWidth="9" defaultRowHeight="12.75"/>
  <cols>
    <col min="1" max="1" width="9.14285714285714" style="16"/>
    <col min="2" max="2" width="7.42857142857143" style="16" customWidth="1"/>
    <col min="3" max="4" width="9.14285714285714" style="16"/>
    <col min="5" max="6" width="11.5714285714286" style="16" customWidth="1"/>
    <col min="7" max="7" width="4" style="16" customWidth="1"/>
    <col min="8" max="8" width="4.14285714285714" style="16" customWidth="1"/>
    <col min="9" max="9" width="10.4285714285714" style="16" customWidth="1"/>
    <col min="10" max="16384" width="9.14285714285714" style="16"/>
  </cols>
  <sheetData>
    <row r="1" ht="13.5"/>
    <row r="2" ht="13.5" spans="3:20">
      <c r="C2" s="20" t="s">
        <v>373</v>
      </c>
      <c r="D2" s="21"/>
      <c r="E2" s="21"/>
      <c r="F2" s="21"/>
      <c r="G2" s="21"/>
      <c r="H2" s="21"/>
      <c r="I2" s="21"/>
      <c r="J2" s="21"/>
      <c r="K2" s="21"/>
      <c r="L2" s="21"/>
      <c r="M2" s="21"/>
      <c r="N2" s="21"/>
      <c r="O2" s="21"/>
      <c r="P2" s="21"/>
      <c r="Q2" s="21"/>
      <c r="R2" s="21"/>
      <c r="S2" s="21"/>
      <c r="T2" s="60"/>
    </row>
    <row r="3" ht="13.5" outlineLevel="1" spans="3:20">
      <c r="C3" s="22" t="s">
        <v>374</v>
      </c>
      <c r="D3" s="23"/>
      <c r="E3" s="23"/>
      <c r="F3" s="24"/>
      <c r="H3" s="25" t="s">
        <v>375</v>
      </c>
      <c r="I3" s="37"/>
      <c r="J3" s="37"/>
      <c r="K3" s="37"/>
      <c r="L3" s="37"/>
      <c r="M3" s="37"/>
      <c r="N3" s="37"/>
      <c r="O3" s="37"/>
      <c r="P3" s="37"/>
      <c r="Q3" s="37"/>
      <c r="R3" s="37"/>
      <c r="S3" s="37"/>
      <c r="T3" s="61"/>
    </row>
    <row r="4" ht="15.75" customHeight="1" outlineLevel="1" spans="2:20">
      <c r="B4" s="26">
        <f>D4-C4</f>
        <v>0.197916666666667</v>
      </c>
      <c r="C4" s="27">
        <v>0</v>
      </c>
      <c r="D4" s="27">
        <v>0.197916666666667</v>
      </c>
      <c r="E4" s="28" t="s">
        <v>376</v>
      </c>
      <c r="F4" s="29"/>
      <c r="H4" s="30"/>
      <c r="I4" s="38"/>
      <c r="J4" s="38"/>
      <c r="K4" s="38"/>
      <c r="L4" s="38"/>
      <c r="M4" s="38"/>
      <c r="N4" s="38"/>
      <c r="O4" s="38"/>
      <c r="P4" s="38"/>
      <c r="Q4" s="38"/>
      <c r="R4" s="38"/>
      <c r="S4" s="38"/>
      <c r="T4" s="62"/>
    </row>
    <row r="5" ht="13.5" outlineLevel="1" spans="2:23">
      <c r="B5" s="26">
        <f>D5-C5</f>
        <v>0.0416666666666667</v>
      </c>
      <c r="C5" s="27">
        <v>0.208333333333333</v>
      </c>
      <c r="D5" s="27">
        <v>0.25</v>
      </c>
      <c r="E5" s="28" t="s">
        <v>377</v>
      </c>
      <c r="F5" s="29"/>
      <c r="H5" s="31" t="s">
        <v>378</v>
      </c>
      <c r="I5" s="39"/>
      <c r="J5" s="39"/>
      <c r="K5" s="39"/>
      <c r="L5" s="39"/>
      <c r="M5" s="39"/>
      <c r="N5" s="40"/>
      <c r="O5" s="31" t="s">
        <v>379</v>
      </c>
      <c r="P5" s="39"/>
      <c r="Q5" s="39"/>
      <c r="R5" s="40"/>
      <c r="S5" s="28">
        <v>5</v>
      </c>
      <c r="T5" s="29"/>
      <c r="V5" s="63"/>
      <c r="W5" s="63"/>
    </row>
    <row r="6" ht="15.75" customHeight="1" outlineLevel="1" spans="2:23">
      <c r="B6" s="26">
        <f t="shared" ref="B6:B24" si="0">D6-C6</f>
        <v>0.0520833333333333</v>
      </c>
      <c r="C6" s="27">
        <v>0.25</v>
      </c>
      <c r="D6" s="27">
        <v>0.302083333333333</v>
      </c>
      <c r="E6" s="28" t="s">
        <v>380</v>
      </c>
      <c r="F6" s="29"/>
      <c r="H6" s="32" t="s">
        <v>381</v>
      </c>
      <c r="I6" s="41" t="s">
        <v>6</v>
      </c>
      <c r="J6" s="42" t="s">
        <v>134</v>
      </c>
      <c r="K6" s="43"/>
      <c r="L6" s="43"/>
      <c r="M6" s="43"/>
      <c r="N6" s="44"/>
      <c r="O6" s="31" t="s">
        <v>382</v>
      </c>
      <c r="P6" s="39"/>
      <c r="Q6" s="39"/>
      <c r="R6" s="39"/>
      <c r="S6" s="39"/>
      <c r="T6" s="40"/>
      <c r="V6" s="63"/>
      <c r="W6" s="63"/>
    </row>
    <row r="7" ht="13.5" outlineLevel="1" spans="2:23">
      <c r="B7" s="26">
        <f t="shared" si="0"/>
        <v>0.0208333333333333</v>
      </c>
      <c r="C7" s="27">
        <v>0.3125</v>
      </c>
      <c r="D7" s="27">
        <v>0.333333333333333</v>
      </c>
      <c r="E7" s="28" t="s">
        <v>383</v>
      </c>
      <c r="F7" s="29"/>
      <c r="H7" s="33"/>
      <c r="I7" s="45" t="s">
        <v>6</v>
      </c>
      <c r="J7" s="46"/>
      <c r="K7" s="47"/>
      <c r="L7" s="47"/>
      <c r="M7" s="47"/>
      <c r="N7" s="48"/>
      <c r="O7" s="49"/>
      <c r="P7" s="50"/>
      <c r="Q7" s="50"/>
      <c r="R7" s="50"/>
      <c r="S7" s="50"/>
      <c r="T7" s="58"/>
      <c r="V7" s="63"/>
      <c r="W7" s="63"/>
    </row>
    <row r="8" ht="13.5" outlineLevel="1" spans="2:23">
      <c r="B8" s="26">
        <f t="shared" si="0"/>
        <v>0.0416666666666667</v>
      </c>
      <c r="C8" s="27">
        <v>0.333333333333333</v>
      </c>
      <c r="D8" s="27">
        <v>0.375</v>
      </c>
      <c r="E8" s="28" t="s">
        <v>383</v>
      </c>
      <c r="F8" s="29"/>
      <c r="H8" s="32" t="s">
        <v>384</v>
      </c>
      <c r="I8" s="41" t="s">
        <v>6</v>
      </c>
      <c r="J8" s="42" t="s">
        <v>385</v>
      </c>
      <c r="K8" s="43"/>
      <c r="L8" s="43"/>
      <c r="M8" s="43"/>
      <c r="N8" s="44"/>
      <c r="O8" s="51"/>
      <c r="P8" s="52"/>
      <c r="Q8" s="52"/>
      <c r="R8" s="52"/>
      <c r="S8" s="52"/>
      <c r="T8" s="64"/>
      <c r="V8" s="63"/>
      <c r="W8" s="63"/>
    </row>
    <row r="9" ht="13.5" outlineLevel="1" spans="2:23">
      <c r="B9" s="26">
        <f t="shared" si="0"/>
        <v>0.0416666666666667</v>
      </c>
      <c r="C9" s="27">
        <v>0.375</v>
      </c>
      <c r="D9" s="27">
        <v>0.416666666666667</v>
      </c>
      <c r="E9" s="28" t="s">
        <v>383</v>
      </c>
      <c r="F9" s="29"/>
      <c r="H9" s="33"/>
      <c r="I9" s="45" t="s">
        <v>6</v>
      </c>
      <c r="J9" s="46"/>
      <c r="K9" s="47"/>
      <c r="L9" s="47"/>
      <c r="M9" s="47"/>
      <c r="N9" s="48"/>
      <c r="O9" s="51"/>
      <c r="P9" s="52"/>
      <c r="Q9" s="52"/>
      <c r="R9" s="52"/>
      <c r="S9" s="52"/>
      <c r="T9" s="64"/>
      <c r="V9" s="63"/>
      <c r="W9" s="63"/>
    </row>
    <row r="10" ht="15.75" customHeight="1" outlineLevel="1" spans="2:23">
      <c r="B10" s="26">
        <f t="shared" si="0"/>
        <v>0.0416666666666666</v>
      </c>
      <c r="C10" s="27">
        <v>0.416666666666667</v>
      </c>
      <c r="D10" s="27">
        <v>0.458333333333333</v>
      </c>
      <c r="E10" s="28" t="s">
        <v>383</v>
      </c>
      <c r="F10" s="29"/>
      <c r="H10" s="32" t="s">
        <v>386</v>
      </c>
      <c r="I10" s="41" t="s">
        <v>6</v>
      </c>
      <c r="J10" s="42" t="s">
        <v>387</v>
      </c>
      <c r="K10" s="43"/>
      <c r="L10" s="43"/>
      <c r="M10" s="43"/>
      <c r="N10" s="44"/>
      <c r="O10" s="51"/>
      <c r="P10" s="52"/>
      <c r="Q10" s="52"/>
      <c r="R10" s="52"/>
      <c r="S10" s="52"/>
      <c r="T10" s="64"/>
      <c r="V10" s="63"/>
      <c r="W10" s="63"/>
    </row>
    <row r="11" ht="13.5" customHeight="1" outlineLevel="1" spans="2:23">
      <c r="B11" s="26">
        <f t="shared" si="0"/>
        <v>0.0416666666666667</v>
      </c>
      <c r="C11" s="27">
        <v>0.458333333333333</v>
      </c>
      <c r="D11" s="27">
        <v>0.5</v>
      </c>
      <c r="E11" s="28" t="s">
        <v>383</v>
      </c>
      <c r="F11" s="29"/>
      <c r="H11" s="33"/>
      <c r="I11" s="45" t="s">
        <v>6</v>
      </c>
      <c r="J11" s="46"/>
      <c r="K11" s="47"/>
      <c r="L11" s="47"/>
      <c r="M11" s="47"/>
      <c r="N11" s="48"/>
      <c r="O11" s="51"/>
      <c r="P11" s="52"/>
      <c r="Q11" s="52"/>
      <c r="R11" s="52"/>
      <c r="S11" s="52"/>
      <c r="T11" s="64"/>
      <c r="V11" s="63"/>
      <c r="W11" s="63"/>
    </row>
    <row r="12" ht="13.5" outlineLevel="1" spans="2:23">
      <c r="B12" s="26">
        <f t="shared" si="0"/>
        <v>0.0416666666666667</v>
      </c>
      <c r="C12" s="27">
        <v>0.510416666666667</v>
      </c>
      <c r="D12" s="27">
        <v>0.552083333333333</v>
      </c>
      <c r="E12" s="28" t="s">
        <v>388</v>
      </c>
      <c r="F12" s="29"/>
      <c r="H12" s="32" t="s">
        <v>389</v>
      </c>
      <c r="I12" s="41" t="s">
        <v>6</v>
      </c>
      <c r="J12" s="42" t="s">
        <v>390</v>
      </c>
      <c r="K12" s="43"/>
      <c r="L12" s="43"/>
      <c r="M12" s="43"/>
      <c r="N12" s="44"/>
      <c r="O12" s="51"/>
      <c r="P12" s="52"/>
      <c r="Q12" s="52"/>
      <c r="R12" s="52"/>
      <c r="S12" s="52"/>
      <c r="T12" s="64"/>
      <c r="V12" s="63"/>
      <c r="W12" s="63"/>
    </row>
    <row r="13" ht="13.5" outlineLevel="1" spans="2:23">
      <c r="B13" s="26">
        <f t="shared" si="0"/>
        <v>0.03125</v>
      </c>
      <c r="C13" s="27">
        <v>0.552083333333333</v>
      </c>
      <c r="D13" s="27">
        <v>0.583333333333333</v>
      </c>
      <c r="E13" s="28" t="s">
        <v>391</v>
      </c>
      <c r="F13" s="29"/>
      <c r="H13" s="33"/>
      <c r="I13" s="45" t="s">
        <v>6</v>
      </c>
      <c r="J13" s="46"/>
      <c r="K13" s="47"/>
      <c r="L13" s="47"/>
      <c r="M13" s="47"/>
      <c r="N13" s="48"/>
      <c r="O13" s="51"/>
      <c r="P13" s="52"/>
      <c r="Q13" s="52"/>
      <c r="R13" s="52"/>
      <c r="S13" s="52"/>
      <c r="T13" s="64"/>
      <c r="V13" s="63"/>
      <c r="W13" s="63"/>
    </row>
    <row r="14" ht="13.5" outlineLevel="1" spans="2:23">
      <c r="B14" s="26">
        <f t="shared" si="0"/>
        <v>0.0416666666666666</v>
      </c>
      <c r="C14" s="27">
        <v>0.583333333333333</v>
      </c>
      <c r="D14" s="27">
        <v>0.625</v>
      </c>
      <c r="E14" s="28" t="s">
        <v>383</v>
      </c>
      <c r="F14" s="29"/>
      <c r="H14" s="32" t="s">
        <v>392</v>
      </c>
      <c r="I14" s="41" t="s">
        <v>6</v>
      </c>
      <c r="J14" s="42"/>
      <c r="K14" s="43"/>
      <c r="L14" s="43"/>
      <c r="M14" s="43"/>
      <c r="N14" s="44"/>
      <c r="O14" s="51"/>
      <c r="P14" s="52"/>
      <c r="Q14" s="52"/>
      <c r="R14" s="52"/>
      <c r="S14" s="52"/>
      <c r="T14" s="64"/>
      <c r="V14" s="63"/>
      <c r="W14" s="63"/>
    </row>
    <row r="15" ht="13.5" outlineLevel="1" spans="2:23">
      <c r="B15" s="26">
        <f t="shared" si="0"/>
        <v>0.0416666666666666</v>
      </c>
      <c r="C15" s="27">
        <v>0.625</v>
      </c>
      <c r="D15" s="27">
        <v>0.666666666666667</v>
      </c>
      <c r="E15" s="28" t="s">
        <v>383</v>
      </c>
      <c r="F15" s="29"/>
      <c r="H15" s="33"/>
      <c r="I15" s="45" t="s">
        <v>6</v>
      </c>
      <c r="J15" s="46"/>
      <c r="K15" s="47"/>
      <c r="L15" s="47"/>
      <c r="M15" s="47"/>
      <c r="N15" s="48"/>
      <c r="O15" s="53"/>
      <c r="P15" s="54"/>
      <c r="Q15" s="54"/>
      <c r="R15" s="54"/>
      <c r="S15" s="54"/>
      <c r="T15" s="59"/>
      <c r="V15" s="63"/>
      <c r="W15" s="63"/>
    </row>
    <row r="16" ht="13.5" outlineLevel="1" spans="2:23">
      <c r="B16" s="26">
        <f t="shared" si="0"/>
        <v>0.0416666666666667</v>
      </c>
      <c r="C16" s="27">
        <v>0.666666666666667</v>
      </c>
      <c r="D16" s="27">
        <v>0.708333333333333</v>
      </c>
      <c r="E16" s="28" t="s">
        <v>383</v>
      </c>
      <c r="F16" s="29"/>
      <c r="H16" s="34"/>
      <c r="I16" s="55"/>
      <c r="J16" s="55"/>
      <c r="K16" s="55"/>
      <c r="L16" s="55"/>
      <c r="M16" s="55"/>
      <c r="N16" s="55"/>
      <c r="O16" s="55"/>
      <c r="P16" s="55"/>
      <c r="Q16" s="55"/>
      <c r="R16" s="55"/>
      <c r="S16" s="55"/>
      <c r="T16" s="65"/>
      <c r="V16" s="63"/>
      <c r="W16" s="63"/>
    </row>
    <row r="17" ht="13.5" outlineLevel="1" spans="2:23">
      <c r="B17" s="26">
        <f t="shared" si="0"/>
        <v>0.0416666666666666</v>
      </c>
      <c r="C17" s="27">
        <v>0.708333333333333</v>
      </c>
      <c r="D17" s="27">
        <v>0.75</v>
      </c>
      <c r="E17" s="28" t="s">
        <v>383</v>
      </c>
      <c r="F17" s="29"/>
      <c r="H17" s="35"/>
      <c r="I17" s="56"/>
      <c r="J17" s="56"/>
      <c r="K17" s="56"/>
      <c r="L17" s="56"/>
      <c r="M17" s="56"/>
      <c r="N17" s="56"/>
      <c r="O17" s="56"/>
      <c r="P17" s="56"/>
      <c r="Q17" s="56"/>
      <c r="R17" s="56"/>
      <c r="S17" s="56"/>
      <c r="T17" s="66"/>
      <c r="V17" s="63"/>
      <c r="W17" s="63"/>
    </row>
    <row r="18" ht="13.5" outlineLevel="1" spans="2:23">
      <c r="B18" s="26">
        <f t="shared" si="0"/>
        <v>0.0208333333333333</v>
      </c>
      <c r="C18" s="27">
        <v>0.770833333333333</v>
      </c>
      <c r="D18" s="27">
        <v>0.791666666666667</v>
      </c>
      <c r="E18" s="28" t="s">
        <v>393</v>
      </c>
      <c r="F18" s="29"/>
      <c r="H18" s="36"/>
      <c r="I18" s="57"/>
      <c r="J18" s="57"/>
      <c r="K18" s="57"/>
      <c r="L18" s="57"/>
      <c r="M18" s="57"/>
      <c r="N18" s="57"/>
      <c r="O18" s="57"/>
      <c r="P18" s="57"/>
      <c r="Q18" s="57"/>
      <c r="R18" s="57"/>
      <c r="S18" s="57"/>
      <c r="T18" s="67"/>
      <c r="V18" s="63"/>
      <c r="W18" s="63"/>
    </row>
    <row r="19" ht="15.75" customHeight="1" outlineLevel="1" spans="2:23">
      <c r="B19" s="26">
        <f t="shared" si="0"/>
        <v>0.03125</v>
      </c>
      <c r="C19" s="27">
        <v>0.791666666666667</v>
      </c>
      <c r="D19" s="27">
        <v>0.822916666666667</v>
      </c>
      <c r="E19" s="28" t="s">
        <v>394</v>
      </c>
      <c r="F19" s="29"/>
      <c r="H19" s="31" t="s">
        <v>395</v>
      </c>
      <c r="I19" s="39"/>
      <c r="J19" s="39"/>
      <c r="K19" s="39"/>
      <c r="L19" s="39"/>
      <c r="M19" s="39"/>
      <c r="N19" s="40"/>
      <c r="O19" s="31" t="s">
        <v>396</v>
      </c>
      <c r="P19" s="39"/>
      <c r="Q19" s="39"/>
      <c r="R19" s="39"/>
      <c r="S19" s="39"/>
      <c r="T19" s="40"/>
      <c r="V19" s="63"/>
      <c r="W19" s="63"/>
    </row>
    <row r="20" ht="15.75" customHeight="1" outlineLevel="1" spans="2:23">
      <c r="B20" s="26">
        <f t="shared" si="0"/>
        <v>0.03125</v>
      </c>
      <c r="C20" s="27">
        <v>0.833333333333333</v>
      </c>
      <c r="D20" s="27">
        <v>0.864583333333333</v>
      </c>
      <c r="E20" s="28" t="s">
        <v>397</v>
      </c>
      <c r="F20" s="29"/>
      <c r="H20" s="32" t="s">
        <v>381</v>
      </c>
      <c r="I20" s="49"/>
      <c r="J20" s="50"/>
      <c r="K20" s="50"/>
      <c r="L20" s="50"/>
      <c r="M20" s="50"/>
      <c r="N20" s="58"/>
      <c r="O20" s="32" t="s">
        <v>381</v>
      </c>
      <c r="P20" s="49"/>
      <c r="Q20" s="50"/>
      <c r="R20" s="50"/>
      <c r="S20" s="50"/>
      <c r="T20" s="58"/>
      <c r="V20" s="63"/>
      <c r="W20" s="63"/>
    </row>
    <row r="21" ht="15.75" customHeight="1" outlineLevel="1" spans="2:23">
      <c r="B21" s="26">
        <f t="shared" si="0"/>
        <v>0.0208333333333334</v>
      </c>
      <c r="C21" s="27">
        <v>0.875</v>
      </c>
      <c r="D21" s="27">
        <v>0.895833333333333</v>
      </c>
      <c r="E21" s="28" t="s">
        <v>398</v>
      </c>
      <c r="F21" s="29"/>
      <c r="H21" s="33"/>
      <c r="I21" s="53"/>
      <c r="J21" s="54"/>
      <c r="K21" s="54"/>
      <c r="L21" s="54"/>
      <c r="M21" s="54"/>
      <c r="N21" s="59"/>
      <c r="O21" s="33"/>
      <c r="P21" s="53"/>
      <c r="Q21" s="54"/>
      <c r="R21" s="54"/>
      <c r="S21" s="54"/>
      <c r="T21" s="59"/>
      <c r="V21" s="63"/>
      <c r="W21" s="63"/>
    </row>
    <row r="22" ht="15.75" customHeight="1" outlineLevel="1" spans="2:23">
      <c r="B22" s="26">
        <f t="shared" si="0"/>
        <v>0.0208333333333334</v>
      </c>
      <c r="C22" s="27">
        <v>0.90625</v>
      </c>
      <c r="D22" s="27">
        <v>0.927083333333333</v>
      </c>
      <c r="E22" s="28" t="s">
        <v>399</v>
      </c>
      <c r="F22" s="29"/>
      <c r="H22" s="32" t="s">
        <v>384</v>
      </c>
      <c r="I22" s="49"/>
      <c r="J22" s="50"/>
      <c r="K22" s="50"/>
      <c r="L22" s="50"/>
      <c r="M22" s="50"/>
      <c r="N22" s="58"/>
      <c r="O22" s="32" t="s">
        <v>384</v>
      </c>
      <c r="P22" s="49"/>
      <c r="Q22" s="50"/>
      <c r="R22" s="50"/>
      <c r="S22" s="50"/>
      <c r="T22" s="58"/>
      <c r="V22" s="63"/>
      <c r="W22" s="63"/>
    </row>
    <row r="23" ht="15.75" customHeight="1" outlineLevel="1" spans="2:23">
      <c r="B23" s="26">
        <f t="shared" si="0"/>
        <v>0.0104166666666666</v>
      </c>
      <c r="C23" s="27">
        <v>0.927083333333333</v>
      </c>
      <c r="D23" s="27">
        <v>0.9375</v>
      </c>
      <c r="E23" s="28" t="s">
        <v>400</v>
      </c>
      <c r="F23" s="29"/>
      <c r="H23" s="33"/>
      <c r="I23" s="53"/>
      <c r="J23" s="54"/>
      <c r="K23" s="54"/>
      <c r="L23" s="54"/>
      <c r="M23" s="54"/>
      <c r="N23" s="59"/>
      <c r="O23" s="33"/>
      <c r="P23" s="53"/>
      <c r="Q23" s="54"/>
      <c r="R23" s="54"/>
      <c r="S23" s="54"/>
      <c r="T23" s="59"/>
      <c r="V23" s="63"/>
      <c r="W23" s="63"/>
    </row>
    <row r="24" ht="15.75" customHeight="1" outlineLevel="1" spans="2:23">
      <c r="B24" s="26">
        <f t="shared" si="0"/>
        <v>0.0208333333333334</v>
      </c>
      <c r="C24" s="27">
        <v>0.9375</v>
      </c>
      <c r="D24" s="27">
        <v>0.958333333333333</v>
      </c>
      <c r="E24" s="28" t="s">
        <v>401</v>
      </c>
      <c r="F24" s="29"/>
      <c r="H24" s="32" t="s">
        <v>386</v>
      </c>
      <c r="I24" s="49"/>
      <c r="J24" s="50"/>
      <c r="K24" s="50"/>
      <c r="L24" s="50"/>
      <c r="M24" s="50"/>
      <c r="N24" s="58"/>
      <c r="O24" s="32" t="s">
        <v>386</v>
      </c>
      <c r="P24" s="49"/>
      <c r="Q24" s="50"/>
      <c r="R24" s="50"/>
      <c r="S24" s="50"/>
      <c r="T24" s="58"/>
      <c r="V24" s="63"/>
      <c r="W24" s="63"/>
    </row>
    <row r="25" ht="15.75" customHeight="1" outlineLevel="1" spans="2:23">
      <c r="B25" s="26">
        <v>0.0416666666666667</v>
      </c>
      <c r="C25" s="27">
        <v>0.958333333333333</v>
      </c>
      <c r="D25" s="27">
        <v>0</v>
      </c>
      <c r="E25" s="28" t="s">
        <v>376</v>
      </c>
      <c r="F25" s="29"/>
      <c r="H25" s="33"/>
      <c r="I25" s="53"/>
      <c r="J25" s="54"/>
      <c r="K25" s="54"/>
      <c r="L25" s="54"/>
      <c r="M25" s="54"/>
      <c r="N25" s="59"/>
      <c r="O25" s="33"/>
      <c r="P25" s="53"/>
      <c r="Q25" s="54"/>
      <c r="R25" s="54"/>
      <c r="S25" s="54"/>
      <c r="T25" s="59"/>
      <c r="V25" s="63"/>
      <c r="W25" s="63"/>
    </row>
    <row r="26" ht="13.5" spans="3:20">
      <c r="C26" s="20" t="s">
        <v>402</v>
      </c>
      <c r="D26" s="21"/>
      <c r="E26" s="21"/>
      <c r="F26" s="21"/>
      <c r="G26" s="21"/>
      <c r="H26" s="21"/>
      <c r="I26" s="21"/>
      <c r="J26" s="21"/>
      <c r="K26" s="21"/>
      <c r="L26" s="21"/>
      <c r="M26" s="21"/>
      <c r="N26" s="21"/>
      <c r="O26" s="21"/>
      <c r="P26" s="21"/>
      <c r="Q26" s="21"/>
      <c r="R26" s="21"/>
      <c r="S26" s="21"/>
      <c r="T26" s="60"/>
    </row>
    <row r="27" ht="13.5" customHeight="1" outlineLevel="1" spans="3:20">
      <c r="C27" s="22" t="s">
        <v>374</v>
      </c>
      <c r="D27" s="23"/>
      <c r="E27" s="23"/>
      <c r="F27" s="24"/>
      <c r="H27" s="25" t="s">
        <v>375</v>
      </c>
      <c r="I27" s="37"/>
      <c r="J27" s="37"/>
      <c r="K27" s="37"/>
      <c r="L27" s="37"/>
      <c r="M27" s="37"/>
      <c r="N27" s="37"/>
      <c r="O27" s="37"/>
      <c r="P27" s="37"/>
      <c r="Q27" s="37"/>
      <c r="R27" s="37"/>
      <c r="S27" s="37"/>
      <c r="T27" s="61"/>
    </row>
    <row r="28" ht="13.5" customHeight="1" outlineLevel="1" spans="3:20">
      <c r="C28" s="27">
        <v>0</v>
      </c>
      <c r="D28" s="27">
        <v>0.197916666666667</v>
      </c>
      <c r="E28" s="28" t="s">
        <v>376</v>
      </c>
      <c r="F28" s="29"/>
      <c r="H28" s="30"/>
      <c r="I28" s="38"/>
      <c r="J28" s="38"/>
      <c r="K28" s="38"/>
      <c r="L28" s="38"/>
      <c r="M28" s="38"/>
      <c r="N28" s="38"/>
      <c r="O28" s="38"/>
      <c r="P28" s="38"/>
      <c r="Q28" s="38"/>
      <c r="R28" s="38"/>
      <c r="S28" s="38"/>
      <c r="T28" s="62"/>
    </row>
    <row r="29" ht="13.5" customHeight="1" outlineLevel="1" spans="3:20">
      <c r="C29" s="27">
        <v>0.208333333333333</v>
      </c>
      <c r="D29" s="27">
        <v>0.25</v>
      </c>
      <c r="E29" s="28" t="s">
        <v>377</v>
      </c>
      <c r="F29" s="29"/>
      <c r="H29" s="31" t="s">
        <v>378</v>
      </c>
      <c r="I29" s="39"/>
      <c r="J29" s="39"/>
      <c r="K29" s="39"/>
      <c r="L29" s="39"/>
      <c r="M29" s="39"/>
      <c r="N29" s="40"/>
      <c r="O29" s="31" t="s">
        <v>379</v>
      </c>
      <c r="P29" s="39"/>
      <c r="Q29" s="39"/>
      <c r="R29" s="40"/>
      <c r="S29" s="28">
        <v>5</v>
      </c>
      <c r="T29" s="29"/>
    </row>
    <row r="30" ht="13.5" outlineLevel="1" spans="3:20">
      <c r="C30" s="27">
        <v>0.25</v>
      </c>
      <c r="D30" s="27">
        <v>0.302083333333333</v>
      </c>
      <c r="E30" s="28" t="s">
        <v>380</v>
      </c>
      <c r="F30" s="29"/>
      <c r="H30" s="32" t="s">
        <v>381</v>
      </c>
      <c r="I30" s="41" t="s">
        <v>6</v>
      </c>
      <c r="J30" s="42" t="s">
        <v>403</v>
      </c>
      <c r="K30" s="43"/>
      <c r="L30" s="43"/>
      <c r="M30" s="43"/>
      <c r="N30" s="44"/>
      <c r="O30" s="31" t="s">
        <v>382</v>
      </c>
      <c r="P30" s="39"/>
      <c r="Q30" s="39"/>
      <c r="R30" s="39"/>
      <c r="S30" s="39"/>
      <c r="T30" s="40"/>
    </row>
    <row r="31" ht="13.5" outlineLevel="1" spans="3:20">
      <c r="C31" s="27">
        <v>0.3125</v>
      </c>
      <c r="D31" s="27">
        <v>0.333333333333333</v>
      </c>
      <c r="E31" s="28" t="s">
        <v>383</v>
      </c>
      <c r="F31" s="29"/>
      <c r="H31" s="33"/>
      <c r="I31" s="45" t="s">
        <v>6</v>
      </c>
      <c r="J31" s="46"/>
      <c r="K31" s="47"/>
      <c r="L31" s="47"/>
      <c r="M31" s="47"/>
      <c r="N31" s="48"/>
      <c r="O31" s="49"/>
      <c r="P31" s="50"/>
      <c r="Q31" s="50"/>
      <c r="R31" s="50"/>
      <c r="S31" s="50"/>
      <c r="T31" s="58"/>
    </row>
    <row r="32" ht="13.5" customHeight="1" outlineLevel="1" spans="3:20">
      <c r="C32" s="27">
        <v>0.333333333333333</v>
      </c>
      <c r="D32" s="27">
        <v>0.375</v>
      </c>
      <c r="E32" s="28" t="s">
        <v>383</v>
      </c>
      <c r="F32" s="29"/>
      <c r="H32" s="32" t="s">
        <v>384</v>
      </c>
      <c r="I32" s="41" t="s">
        <v>6</v>
      </c>
      <c r="J32" s="42" t="s">
        <v>403</v>
      </c>
      <c r="K32" s="43"/>
      <c r="L32" s="43"/>
      <c r="M32" s="43"/>
      <c r="N32" s="44"/>
      <c r="O32" s="51"/>
      <c r="P32" s="52"/>
      <c r="Q32" s="52"/>
      <c r="R32" s="52"/>
      <c r="S32" s="52"/>
      <c r="T32" s="64"/>
    </row>
    <row r="33" ht="13.5" customHeight="1" outlineLevel="1" spans="3:20">
      <c r="C33" s="27">
        <v>0.375</v>
      </c>
      <c r="D33" s="27">
        <v>0.416666666666667</v>
      </c>
      <c r="E33" s="28" t="s">
        <v>383</v>
      </c>
      <c r="F33" s="29"/>
      <c r="H33" s="33"/>
      <c r="I33" s="45" t="s">
        <v>6</v>
      </c>
      <c r="J33" s="46"/>
      <c r="K33" s="47"/>
      <c r="L33" s="47"/>
      <c r="M33" s="47"/>
      <c r="N33" s="48"/>
      <c r="O33" s="51"/>
      <c r="P33" s="52"/>
      <c r="Q33" s="52"/>
      <c r="R33" s="52"/>
      <c r="S33" s="52"/>
      <c r="T33" s="64"/>
    </row>
    <row r="34" ht="13.5" customHeight="1" outlineLevel="1" spans="3:20">
      <c r="C34" s="27">
        <v>0.416666666666667</v>
      </c>
      <c r="D34" s="27">
        <v>0.458333333333333</v>
      </c>
      <c r="E34" s="28" t="s">
        <v>383</v>
      </c>
      <c r="F34" s="29"/>
      <c r="H34" s="32" t="s">
        <v>386</v>
      </c>
      <c r="I34" s="41" t="s">
        <v>6</v>
      </c>
      <c r="J34" s="42" t="s">
        <v>403</v>
      </c>
      <c r="K34" s="43"/>
      <c r="L34" s="43"/>
      <c r="M34" s="43"/>
      <c r="N34" s="44"/>
      <c r="O34" s="51"/>
      <c r="P34" s="52"/>
      <c r="Q34" s="52"/>
      <c r="R34" s="52"/>
      <c r="S34" s="52"/>
      <c r="T34" s="64"/>
    </row>
    <row r="35" ht="13.5" customHeight="1" outlineLevel="1" spans="3:20">
      <c r="C35" s="27">
        <v>0.458333333333333</v>
      </c>
      <c r="D35" s="27">
        <v>0.5</v>
      </c>
      <c r="E35" s="28" t="s">
        <v>383</v>
      </c>
      <c r="F35" s="29"/>
      <c r="H35" s="33"/>
      <c r="I35" s="45" t="s">
        <v>6</v>
      </c>
      <c r="J35" s="46"/>
      <c r="K35" s="47"/>
      <c r="L35" s="47"/>
      <c r="M35" s="47"/>
      <c r="N35" s="48"/>
      <c r="O35" s="51"/>
      <c r="P35" s="52"/>
      <c r="Q35" s="52"/>
      <c r="R35" s="52"/>
      <c r="S35" s="52"/>
      <c r="T35" s="64"/>
    </row>
    <row r="36" ht="13.5" customHeight="1" outlineLevel="1" spans="3:20">
      <c r="C36" s="27">
        <v>0.510416666666667</v>
      </c>
      <c r="D36" s="27">
        <v>0.552083333333333</v>
      </c>
      <c r="E36" s="28" t="s">
        <v>388</v>
      </c>
      <c r="F36" s="29"/>
      <c r="H36" s="32" t="s">
        <v>389</v>
      </c>
      <c r="I36" s="41" t="s">
        <v>6</v>
      </c>
      <c r="J36" s="42" t="s">
        <v>403</v>
      </c>
      <c r="K36" s="43"/>
      <c r="L36" s="43"/>
      <c r="M36" s="43"/>
      <c r="N36" s="44"/>
      <c r="O36" s="51"/>
      <c r="P36" s="52"/>
      <c r="Q36" s="52"/>
      <c r="R36" s="52"/>
      <c r="S36" s="52"/>
      <c r="T36" s="64"/>
    </row>
    <row r="37" ht="13.5" customHeight="1" outlineLevel="1" spans="3:20">
      <c r="C37" s="27">
        <v>0.552083333333333</v>
      </c>
      <c r="D37" s="27">
        <v>0.583333333333333</v>
      </c>
      <c r="E37" s="28" t="s">
        <v>391</v>
      </c>
      <c r="F37" s="29"/>
      <c r="H37" s="33"/>
      <c r="I37" s="45" t="s">
        <v>6</v>
      </c>
      <c r="J37" s="46"/>
      <c r="K37" s="47"/>
      <c r="L37" s="47"/>
      <c r="M37" s="47"/>
      <c r="N37" s="48"/>
      <c r="O37" s="51"/>
      <c r="P37" s="52"/>
      <c r="Q37" s="52"/>
      <c r="R37" s="52"/>
      <c r="S37" s="52"/>
      <c r="T37" s="64"/>
    </row>
    <row r="38" ht="13.5" customHeight="1" outlineLevel="1" spans="3:20">
      <c r="C38" s="27">
        <v>0.583333333333333</v>
      </c>
      <c r="D38" s="27">
        <v>0.625</v>
      </c>
      <c r="E38" s="28" t="s">
        <v>383</v>
      </c>
      <c r="F38" s="29"/>
      <c r="H38" s="32" t="s">
        <v>392</v>
      </c>
      <c r="I38" s="41" t="s">
        <v>6</v>
      </c>
      <c r="J38" s="42" t="s">
        <v>403</v>
      </c>
      <c r="K38" s="43"/>
      <c r="L38" s="43"/>
      <c r="M38" s="43"/>
      <c r="N38" s="44"/>
      <c r="O38" s="51"/>
      <c r="P38" s="52"/>
      <c r="Q38" s="52"/>
      <c r="R38" s="52"/>
      <c r="S38" s="52"/>
      <c r="T38" s="64"/>
    </row>
    <row r="39" ht="13.5" customHeight="1" outlineLevel="1" spans="3:20">
      <c r="C39" s="27">
        <v>0.625</v>
      </c>
      <c r="D39" s="27">
        <v>0.666666666666667</v>
      </c>
      <c r="E39" s="28" t="s">
        <v>383</v>
      </c>
      <c r="F39" s="29"/>
      <c r="H39" s="33"/>
      <c r="I39" s="45" t="s">
        <v>6</v>
      </c>
      <c r="J39" s="46"/>
      <c r="K39" s="47"/>
      <c r="L39" s="47"/>
      <c r="M39" s="47"/>
      <c r="N39" s="48"/>
      <c r="O39" s="53"/>
      <c r="P39" s="54"/>
      <c r="Q39" s="54"/>
      <c r="R39" s="54"/>
      <c r="S39" s="54"/>
      <c r="T39" s="59"/>
    </row>
    <row r="40" ht="15.75" customHeight="1" outlineLevel="1" spans="3:20">
      <c r="C40" s="27">
        <v>0.666666666666667</v>
      </c>
      <c r="D40" s="27">
        <v>0.708333333333333</v>
      </c>
      <c r="E40" s="28" t="s">
        <v>383</v>
      </c>
      <c r="F40" s="29"/>
      <c r="H40" s="34"/>
      <c r="I40" s="55"/>
      <c r="J40" s="55"/>
      <c r="K40" s="55"/>
      <c r="L40" s="55"/>
      <c r="M40" s="55"/>
      <c r="N40" s="55"/>
      <c r="O40" s="55"/>
      <c r="P40" s="55"/>
      <c r="Q40" s="55"/>
      <c r="R40" s="55"/>
      <c r="S40" s="55"/>
      <c r="T40" s="65"/>
    </row>
    <row r="41" ht="15.75" customHeight="1" outlineLevel="1" spans="3:20">
      <c r="C41" s="27">
        <v>0.708333333333333</v>
      </c>
      <c r="D41" s="27">
        <v>0.75</v>
      </c>
      <c r="E41" s="28" t="s">
        <v>383</v>
      </c>
      <c r="F41" s="29"/>
      <c r="H41" s="35"/>
      <c r="I41" s="56"/>
      <c r="J41" s="56"/>
      <c r="K41" s="56"/>
      <c r="L41" s="56"/>
      <c r="M41" s="56"/>
      <c r="N41" s="56"/>
      <c r="O41" s="56"/>
      <c r="P41" s="56"/>
      <c r="Q41" s="56"/>
      <c r="R41" s="56"/>
      <c r="S41" s="56"/>
      <c r="T41" s="66"/>
    </row>
    <row r="42" ht="15.75" customHeight="1" outlineLevel="1" spans="3:20">
      <c r="C42" s="27">
        <v>0.770833333333333</v>
      </c>
      <c r="D42" s="27">
        <v>0.791666666666667</v>
      </c>
      <c r="E42" s="28" t="s">
        <v>393</v>
      </c>
      <c r="F42" s="29"/>
      <c r="H42" s="36"/>
      <c r="I42" s="57"/>
      <c r="J42" s="57"/>
      <c r="K42" s="57"/>
      <c r="L42" s="57"/>
      <c r="M42" s="57"/>
      <c r="N42" s="57"/>
      <c r="O42" s="57"/>
      <c r="P42" s="57"/>
      <c r="Q42" s="57"/>
      <c r="R42" s="57"/>
      <c r="S42" s="57"/>
      <c r="T42" s="67"/>
    </row>
    <row r="43" ht="13.5" outlineLevel="1" spans="3:20">
      <c r="C43" s="27">
        <v>0.791666666666667</v>
      </c>
      <c r="D43" s="27">
        <v>0.822916666666667</v>
      </c>
      <c r="E43" s="28" t="s">
        <v>394</v>
      </c>
      <c r="F43" s="29"/>
      <c r="H43" s="31" t="s">
        <v>395</v>
      </c>
      <c r="I43" s="39"/>
      <c r="J43" s="39"/>
      <c r="K43" s="39"/>
      <c r="L43" s="39"/>
      <c r="M43" s="39"/>
      <c r="N43" s="40"/>
      <c r="O43" s="31" t="s">
        <v>396</v>
      </c>
      <c r="P43" s="39"/>
      <c r="Q43" s="39"/>
      <c r="R43" s="39"/>
      <c r="S43" s="39"/>
      <c r="T43" s="40"/>
    </row>
    <row r="44" ht="13.5" outlineLevel="1" spans="3:20">
      <c r="C44" s="27">
        <v>0.833333333333333</v>
      </c>
      <c r="D44" s="27">
        <v>0.864583333333333</v>
      </c>
      <c r="E44" s="28" t="s">
        <v>404</v>
      </c>
      <c r="F44" s="29"/>
      <c r="H44" s="32" t="s">
        <v>381</v>
      </c>
      <c r="I44" s="49"/>
      <c r="J44" s="50"/>
      <c r="K44" s="50"/>
      <c r="L44" s="50"/>
      <c r="M44" s="50"/>
      <c r="N44" s="58"/>
      <c r="O44" s="32" t="s">
        <v>381</v>
      </c>
      <c r="P44" s="49"/>
      <c r="Q44" s="50"/>
      <c r="R44" s="50"/>
      <c r="S44" s="50"/>
      <c r="T44" s="58"/>
    </row>
    <row r="45" ht="13.5" outlineLevel="1" spans="3:20">
      <c r="C45" s="27">
        <v>0.875</v>
      </c>
      <c r="D45" s="27">
        <v>0.895833333333333</v>
      </c>
      <c r="E45" s="28" t="s">
        <v>398</v>
      </c>
      <c r="F45" s="29"/>
      <c r="H45" s="33"/>
      <c r="I45" s="53"/>
      <c r="J45" s="54"/>
      <c r="K45" s="54"/>
      <c r="L45" s="54"/>
      <c r="M45" s="54"/>
      <c r="N45" s="59"/>
      <c r="O45" s="33"/>
      <c r="P45" s="53"/>
      <c r="Q45" s="54"/>
      <c r="R45" s="54"/>
      <c r="S45" s="54"/>
      <c r="T45" s="59"/>
    </row>
    <row r="46" ht="13.5" outlineLevel="1" spans="3:20">
      <c r="C46" s="27">
        <v>0.90625</v>
      </c>
      <c r="D46" s="27">
        <v>0.927083333333333</v>
      </c>
      <c r="E46" s="28" t="s">
        <v>399</v>
      </c>
      <c r="F46" s="29"/>
      <c r="H46" s="32" t="s">
        <v>384</v>
      </c>
      <c r="I46" s="49"/>
      <c r="J46" s="50"/>
      <c r="K46" s="50"/>
      <c r="L46" s="50"/>
      <c r="M46" s="50"/>
      <c r="N46" s="58"/>
      <c r="O46" s="32" t="s">
        <v>384</v>
      </c>
      <c r="P46" s="49"/>
      <c r="Q46" s="50"/>
      <c r="R46" s="50"/>
      <c r="S46" s="50"/>
      <c r="T46" s="58"/>
    </row>
    <row r="47" ht="13.5" outlineLevel="1" spans="3:20">
      <c r="C47" s="27">
        <v>0.927083333333333</v>
      </c>
      <c r="D47" s="27">
        <v>0.9375</v>
      </c>
      <c r="E47" s="28" t="s">
        <v>400</v>
      </c>
      <c r="F47" s="29"/>
      <c r="H47" s="33"/>
      <c r="I47" s="53"/>
      <c r="J47" s="54"/>
      <c r="K47" s="54"/>
      <c r="L47" s="54"/>
      <c r="M47" s="54"/>
      <c r="N47" s="59"/>
      <c r="O47" s="33"/>
      <c r="P47" s="53"/>
      <c r="Q47" s="54"/>
      <c r="R47" s="54"/>
      <c r="S47" s="54"/>
      <c r="T47" s="59"/>
    </row>
    <row r="48" ht="13.5" outlineLevel="1" spans="3:20">
      <c r="C48" s="27">
        <v>0.9375</v>
      </c>
      <c r="D48" s="27">
        <v>0.958333333333333</v>
      </c>
      <c r="E48" s="28" t="s">
        <v>401</v>
      </c>
      <c r="F48" s="29"/>
      <c r="H48" s="32" t="s">
        <v>386</v>
      </c>
      <c r="I48" s="49"/>
      <c r="J48" s="50"/>
      <c r="K48" s="50"/>
      <c r="L48" s="50"/>
      <c r="M48" s="50"/>
      <c r="N48" s="58"/>
      <c r="O48" s="32" t="s">
        <v>386</v>
      </c>
      <c r="P48" s="49"/>
      <c r="Q48" s="50"/>
      <c r="R48" s="50"/>
      <c r="S48" s="50"/>
      <c r="T48" s="58"/>
    </row>
    <row r="49" ht="13.5" outlineLevel="1" spans="3:20">
      <c r="C49" s="27">
        <v>0.958333333333333</v>
      </c>
      <c r="D49" s="27">
        <v>0</v>
      </c>
      <c r="E49" s="28" t="s">
        <v>376</v>
      </c>
      <c r="F49" s="29"/>
      <c r="H49" s="33"/>
      <c r="I49" s="53"/>
      <c r="J49" s="54"/>
      <c r="K49" s="54"/>
      <c r="L49" s="54"/>
      <c r="M49" s="54"/>
      <c r="N49" s="59"/>
      <c r="O49" s="33"/>
      <c r="P49" s="53"/>
      <c r="Q49" s="54"/>
      <c r="R49" s="54"/>
      <c r="S49" s="54"/>
      <c r="T49" s="59"/>
    </row>
    <row r="50" ht="13.5" spans="3:20">
      <c r="C50" s="20" t="s">
        <v>405</v>
      </c>
      <c r="D50" s="21"/>
      <c r="E50" s="21"/>
      <c r="F50" s="21"/>
      <c r="G50" s="21"/>
      <c r="H50" s="21"/>
      <c r="I50" s="21"/>
      <c r="J50" s="21"/>
      <c r="K50" s="21"/>
      <c r="L50" s="21"/>
      <c r="M50" s="21"/>
      <c r="N50" s="21"/>
      <c r="O50" s="21"/>
      <c r="P50" s="21"/>
      <c r="Q50" s="21"/>
      <c r="R50" s="21"/>
      <c r="S50" s="21"/>
      <c r="T50" s="60"/>
    </row>
    <row r="51" ht="13.5" customHeight="1" outlineLevel="1" spans="3:20">
      <c r="C51" s="22" t="s">
        <v>374</v>
      </c>
      <c r="D51" s="23"/>
      <c r="E51" s="23"/>
      <c r="F51" s="24"/>
      <c r="H51" s="25" t="s">
        <v>375</v>
      </c>
      <c r="I51" s="37"/>
      <c r="J51" s="37"/>
      <c r="K51" s="37"/>
      <c r="L51" s="37"/>
      <c r="M51" s="37"/>
      <c r="N51" s="37"/>
      <c r="O51" s="37"/>
      <c r="P51" s="37"/>
      <c r="Q51" s="37"/>
      <c r="R51" s="37"/>
      <c r="S51" s="37"/>
      <c r="T51" s="61"/>
    </row>
    <row r="52" ht="13.5" customHeight="1" outlineLevel="1" spans="3:20">
      <c r="C52" s="27">
        <v>0</v>
      </c>
      <c r="D52" s="27">
        <v>0.197916666666667</v>
      </c>
      <c r="E52" s="28" t="s">
        <v>376</v>
      </c>
      <c r="F52" s="29"/>
      <c r="H52" s="30"/>
      <c r="I52" s="38"/>
      <c r="J52" s="38"/>
      <c r="K52" s="38"/>
      <c r="L52" s="38"/>
      <c r="M52" s="38"/>
      <c r="N52" s="38"/>
      <c r="O52" s="38"/>
      <c r="P52" s="38"/>
      <c r="Q52" s="38"/>
      <c r="R52" s="38"/>
      <c r="S52" s="38"/>
      <c r="T52" s="62"/>
    </row>
    <row r="53" ht="13.5" customHeight="1" outlineLevel="1" spans="3:20">
      <c r="C53" s="27">
        <v>0.208333333333333</v>
      </c>
      <c r="D53" s="27">
        <v>0.25</v>
      </c>
      <c r="E53" s="28" t="s">
        <v>377</v>
      </c>
      <c r="F53" s="29"/>
      <c r="H53" s="31" t="s">
        <v>378</v>
      </c>
      <c r="I53" s="39"/>
      <c r="J53" s="39"/>
      <c r="K53" s="39"/>
      <c r="L53" s="39"/>
      <c r="M53" s="39"/>
      <c r="N53" s="40"/>
      <c r="O53" s="31" t="s">
        <v>379</v>
      </c>
      <c r="P53" s="39"/>
      <c r="Q53" s="39"/>
      <c r="R53" s="40"/>
      <c r="S53" s="28"/>
      <c r="T53" s="29"/>
    </row>
    <row r="54" ht="13.5" customHeight="1" outlineLevel="1" spans="3:20">
      <c r="C54" s="27">
        <v>0.25</v>
      </c>
      <c r="D54" s="27">
        <v>0.302083333333333</v>
      </c>
      <c r="E54" s="28" t="s">
        <v>380</v>
      </c>
      <c r="F54" s="29"/>
      <c r="H54" s="32" t="s">
        <v>381</v>
      </c>
      <c r="I54" s="41"/>
      <c r="J54" s="42" t="s">
        <v>134</v>
      </c>
      <c r="K54" s="43"/>
      <c r="L54" s="43"/>
      <c r="M54" s="43"/>
      <c r="N54" s="44"/>
      <c r="O54" s="31" t="s">
        <v>382</v>
      </c>
      <c r="P54" s="39"/>
      <c r="Q54" s="39"/>
      <c r="R54" s="39"/>
      <c r="S54" s="39"/>
      <c r="T54" s="40"/>
    </row>
    <row r="55" ht="13.5" customHeight="1" outlineLevel="1" spans="3:20">
      <c r="C55" s="27">
        <v>0.3125</v>
      </c>
      <c r="D55" s="27">
        <v>0.333333333333333</v>
      </c>
      <c r="E55" s="28" t="s">
        <v>383</v>
      </c>
      <c r="F55" s="29"/>
      <c r="H55" s="33"/>
      <c r="I55" s="45"/>
      <c r="J55" s="46"/>
      <c r="K55" s="47"/>
      <c r="L55" s="47"/>
      <c r="M55" s="47"/>
      <c r="N55" s="48"/>
      <c r="O55" s="49"/>
      <c r="P55" s="50"/>
      <c r="Q55" s="50"/>
      <c r="R55" s="50"/>
      <c r="S55" s="50"/>
      <c r="T55" s="58"/>
    </row>
    <row r="56" ht="13.5" outlineLevel="1" spans="3:20">
      <c r="C56" s="27">
        <v>0.333333333333333</v>
      </c>
      <c r="D56" s="27">
        <v>0.375</v>
      </c>
      <c r="E56" s="28" t="s">
        <v>383</v>
      </c>
      <c r="F56" s="29"/>
      <c r="H56" s="32" t="s">
        <v>384</v>
      </c>
      <c r="I56" s="41"/>
      <c r="J56" s="42" t="s">
        <v>406</v>
      </c>
      <c r="K56" s="43"/>
      <c r="L56" s="43"/>
      <c r="M56" s="43"/>
      <c r="N56" s="44"/>
      <c r="O56" s="51"/>
      <c r="P56" s="52"/>
      <c r="Q56" s="52"/>
      <c r="R56" s="52"/>
      <c r="S56" s="52"/>
      <c r="T56" s="64"/>
    </row>
    <row r="57" ht="13.5" customHeight="1" outlineLevel="1" spans="3:20">
      <c r="C57" s="27">
        <v>0.375</v>
      </c>
      <c r="D57" s="27">
        <v>0.416666666666667</v>
      </c>
      <c r="E57" s="28" t="s">
        <v>383</v>
      </c>
      <c r="F57" s="29"/>
      <c r="H57" s="33"/>
      <c r="I57" s="45"/>
      <c r="J57" s="46"/>
      <c r="K57" s="47"/>
      <c r="L57" s="47"/>
      <c r="M57" s="47"/>
      <c r="N57" s="48"/>
      <c r="O57" s="51"/>
      <c r="P57" s="52"/>
      <c r="Q57" s="52"/>
      <c r="R57" s="52"/>
      <c r="S57" s="52"/>
      <c r="T57" s="64"/>
    </row>
    <row r="58" ht="13.5" outlineLevel="1" spans="3:20">
      <c r="C58" s="27">
        <v>0.416666666666667</v>
      </c>
      <c r="D58" s="27">
        <v>0.458333333333333</v>
      </c>
      <c r="E58" s="28" t="s">
        <v>383</v>
      </c>
      <c r="F58" s="29"/>
      <c r="H58" s="32" t="s">
        <v>386</v>
      </c>
      <c r="I58" s="41"/>
      <c r="J58" s="42" t="s">
        <v>407</v>
      </c>
      <c r="K58" s="43"/>
      <c r="L58" s="43"/>
      <c r="M58" s="43"/>
      <c r="N58" s="44"/>
      <c r="O58" s="51"/>
      <c r="P58" s="52"/>
      <c r="Q58" s="52"/>
      <c r="R58" s="52"/>
      <c r="S58" s="52"/>
      <c r="T58" s="64"/>
    </row>
    <row r="59" ht="13.5" customHeight="1" outlineLevel="1" spans="3:20">
      <c r="C59" s="27">
        <v>0.458333333333333</v>
      </c>
      <c r="D59" s="27">
        <v>0.5</v>
      </c>
      <c r="E59" s="28" t="s">
        <v>383</v>
      </c>
      <c r="F59" s="29"/>
      <c r="H59" s="33"/>
      <c r="I59" s="45"/>
      <c r="J59" s="46"/>
      <c r="K59" s="47"/>
      <c r="L59" s="47"/>
      <c r="M59" s="47"/>
      <c r="N59" s="48"/>
      <c r="O59" s="51"/>
      <c r="P59" s="52"/>
      <c r="Q59" s="52"/>
      <c r="R59" s="52"/>
      <c r="S59" s="52"/>
      <c r="T59" s="64"/>
    </row>
    <row r="60" ht="13.5" outlineLevel="1" spans="3:20">
      <c r="C60" s="27">
        <v>0.510416666666667</v>
      </c>
      <c r="D60" s="27">
        <v>0.552083333333333</v>
      </c>
      <c r="E60" s="28" t="s">
        <v>388</v>
      </c>
      <c r="F60" s="29"/>
      <c r="H60" s="32" t="s">
        <v>389</v>
      </c>
      <c r="I60" s="41"/>
      <c r="J60" s="42" t="s">
        <v>408</v>
      </c>
      <c r="K60" s="43"/>
      <c r="L60" s="43"/>
      <c r="M60" s="43"/>
      <c r="N60" s="44"/>
      <c r="O60" s="51"/>
      <c r="P60" s="52"/>
      <c r="Q60" s="52"/>
      <c r="R60" s="52"/>
      <c r="S60" s="52"/>
      <c r="T60" s="64"/>
    </row>
    <row r="61" ht="13.5" customHeight="1" outlineLevel="1" spans="3:20">
      <c r="C61" s="27">
        <v>0.552083333333333</v>
      </c>
      <c r="D61" s="27">
        <v>0.583333333333333</v>
      </c>
      <c r="E61" s="28" t="s">
        <v>391</v>
      </c>
      <c r="F61" s="29"/>
      <c r="H61" s="33"/>
      <c r="I61" s="45"/>
      <c r="J61" s="46"/>
      <c r="K61" s="47"/>
      <c r="L61" s="47"/>
      <c r="M61" s="47"/>
      <c r="N61" s="48"/>
      <c r="O61" s="51"/>
      <c r="P61" s="52"/>
      <c r="Q61" s="52"/>
      <c r="R61" s="52"/>
      <c r="S61" s="52"/>
      <c r="T61" s="64"/>
    </row>
    <row r="62" ht="13.5" outlineLevel="1" spans="3:20">
      <c r="C62" s="27">
        <v>0.583333333333333</v>
      </c>
      <c r="D62" s="27">
        <v>0.625</v>
      </c>
      <c r="E62" s="28" t="s">
        <v>383</v>
      </c>
      <c r="F62" s="29"/>
      <c r="H62" s="32" t="s">
        <v>392</v>
      </c>
      <c r="I62" s="41"/>
      <c r="J62" s="42" t="s">
        <v>202</v>
      </c>
      <c r="K62" s="43"/>
      <c r="L62" s="43"/>
      <c r="M62" s="43"/>
      <c r="N62" s="44"/>
      <c r="O62" s="51"/>
      <c r="P62" s="52"/>
      <c r="Q62" s="52"/>
      <c r="R62" s="52"/>
      <c r="S62" s="52"/>
      <c r="T62" s="64"/>
    </row>
    <row r="63" ht="13.5" customHeight="1" outlineLevel="1" spans="3:20">
      <c r="C63" s="27">
        <v>0.625</v>
      </c>
      <c r="D63" s="27">
        <v>0.666666666666667</v>
      </c>
      <c r="E63" s="28" t="s">
        <v>383</v>
      </c>
      <c r="F63" s="29"/>
      <c r="H63" s="33"/>
      <c r="I63" s="45"/>
      <c r="J63" s="46"/>
      <c r="K63" s="47"/>
      <c r="L63" s="47"/>
      <c r="M63" s="47"/>
      <c r="N63" s="48"/>
      <c r="O63" s="53"/>
      <c r="P63" s="54"/>
      <c r="Q63" s="54"/>
      <c r="R63" s="54"/>
      <c r="S63" s="54"/>
      <c r="T63" s="59"/>
    </row>
    <row r="64" ht="15.75" customHeight="1" outlineLevel="1" spans="3:20">
      <c r="C64" s="27">
        <v>0.666666666666667</v>
      </c>
      <c r="D64" s="27">
        <v>0.708333333333333</v>
      </c>
      <c r="E64" s="28" t="s">
        <v>383</v>
      </c>
      <c r="F64" s="29"/>
      <c r="H64" s="34"/>
      <c r="I64" s="55"/>
      <c r="J64" s="55"/>
      <c r="K64" s="55"/>
      <c r="L64" s="55"/>
      <c r="M64" s="55"/>
      <c r="N64" s="55"/>
      <c r="O64" s="55"/>
      <c r="P64" s="55"/>
      <c r="Q64" s="55"/>
      <c r="R64" s="55"/>
      <c r="S64" s="55"/>
      <c r="T64" s="65"/>
    </row>
    <row r="65" ht="15.75" customHeight="1" outlineLevel="1" spans="3:20">
      <c r="C65" s="27">
        <v>0.708333333333333</v>
      </c>
      <c r="D65" s="27">
        <v>0.75</v>
      </c>
      <c r="E65" s="28" t="s">
        <v>383</v>
      </c>
      <c r="F65" s="29"/>
      <c r="H65" s="35"/>
      <c r="I65" s="56"/>
      <c r="J65" s="56"/>
      <c r="K65" s="56"/>
      <c r="L65" s="56"/>
      <c r="M65" s="56"/>
      <c r="N65" s="56"/>
      <c r="O65" s="56"/>
      <c r="P65" s="56"/>
      <c r="Q65" s="56"/>
      <c r="R65" s="56"/>
      <c r="S65" s="56"/>
      <c r="T65" s="66"/>
    </row>
    <row r="66" ht="15.75" customHeight="1" outlineLevel="1" spans="3:20">
      <c r="C66" s="27">
        <v>0.770833333333333</v>
      </c>
      <c r="D66" s="27">
        <v>0.791666666666667</v>
      </c>
      <c r="E66" s="28" t="s">
        <v>393</v>
      </c>
      <c r="F66" s="29"/>
      <c r="H66" s="36"/>
      <c r="I66" s="57"/>
      <c r="J66" s="57"/>
      <c r="K66" s="57"/>
      <c r="L66" s="57"/>
      <c r="M66" s="57"/>
      <c r="N66" s="57"/>
      <c r="O66" s="57"/>
      <c r="P66" s="57"/>
      <c r="Q66" s="57"/>
      <c r="R66" s="57"/>
      <c r="S66" s="57"/>
      <c r="T66" s="67"/>
    </row>
    <row r="67" ht="13.5" customHeight="1" outlineLevel="1" spans="3:20">
      <c r="C67" s="27">
        <v>0.791666666666667</v>
      </c>
      <c r="D67" s="27">
        <v>0.822916666666667</v>
      </c>
      <c r="E67" s="28" t="s">
        <v>394</v>
      </c>
      <c r="F67" s="29"/>
      <c r="H67" s="31" t="s">
        <v>395</v>
      </c>
      <c r="I67" s="39"/>
      <c r="J67" s="39"/>
      <c r="K67" s="39"/>
      <c r="L67" s="39"/>
      <c r="M67" s="39"/>
      <c r="N67" s="40"/>
      <c r="O67" s="31" t="s">
        <v>396</v>
      </c>
      <c r="P67" s="39"/>
      <c r="Q67" s="39"/>
      <c r="R67" s="39"/>
      <c r="S67" s="39"/>
      <c r="T67" s="40"/>
    </row>
    <row r="68" ht="13.5" outlineLevel="1" spans="3:20">
      <c r="C68" s="27">
        <v>0.833333333333333</v>
      </c>
      <c r="D68" s="27">
        <v>0.864583333333333</v>
      </c>
      <c r="E68" s="28" t="s">
        <v>397</v>
      </c>
      <c r="F68" s="29"/>
      <c r="H68" s="32" t="s">
        <v>381</v>
      </c>
      <c r="I68" s="49" t="s">
        <v>409</v>
      </c>
      <c r="J68" s="50"/>
      <c r="K68" s="50"/>
      <c r="L68" s="50"/>
      <c r="M68" s="50"/>
      <c r="N68" s="58"/>
      <c r="O68" s="32" t="s">
        <v>381</v>
      </c>
      <c r="P68" s="49"/>
      <c r="Q68" s="50"/>
      <c r="R68" s="50"/>
      <c r="S68" s="50"/>
      <c r="T68" s="58"/>
    </row>
    <row r="69" ht="13.5" customHeight="1" outlineLevel="1" spans="3:20">
      <c r="C69" s="27">
        <v>0.875</v>
      </c>
      <c r="D69" s="27">
        <v>0.895833333333333</v>
      </c>
      <c r="E69" s="28" t="s">
        <v>398</v>
      </c>
      <c r="F69" s="29"/>
      <c r="H69" s="33"/>
      <c r="I69" s="53"/>
      <c r="J69" s="54"/>
      <c r="K69" s="54"/>
      <c r="L69" s="54"/>
      <c r="M69" s="54"/>
      <c r="N69" s="59"/>
      <c r="O69" s="33"/>
      <c r="P69" s="53"/>
      <c r="Q69" s="54"/>
      <c r="R69" s="54"/>
      <c r="S69" s="54"/>
      <c r="T69" s="59"/>
    </row>
    <row r="70" ht="13.5" outlineLevel="1" spans="3:20">
      <c r="C70" s="27">
        <v>0.90625</v>
      </c>
      <c r="D70" s="27">
        <v>0.927083333333333</v>
      </c>
      <c r="E70" s="28" t="s">
        <v>399</v>
      </c>
      <c r="F70" s="29"/>
      <c r="H70" s="32" t="s">
        <v>384</v>
      </c>
      <c r="I70" s="49" t="s">
        <v>410</v>
      </c>
      <c r="J70" s="50"/>
      <c r="K70" s="50"/>
      <c r="L70" s="50"/>
      <c r="M70" s="50"/>
      <c r="N70" s="58"/>
      <c r="O70" s="32" t="s">
        <v>384</v>
      </c>
      <c r="P70" s="49"/>
      <c r="Q70" s="50"/>
      <c r="R70" s="50"/>
      <c r="S70" s="50"/>
      <c r="T70" s="58"/>
    </row>
    <row r="71" ht="13.5" customHeight="1" outlineLevel="1" spans="3:20">
      <c r="C71" s="27">
        <v>0.927083333333333</v>
      </c>
      <c r="D71" s="27">
        <v>0.9375</v>
      </c>
      <c r="E71" s="28" t="s">
        <v>400</v>
      </c>
      <c r="F71" s="29"/>
      <c r="H71" s="33"/>
      <c r="I71" s="53"/>
      <c r="J71" s="54"/>
      <c r="K71" s="54"/>
      <c r="L71" s="54"/>
      <c r="M71" s="54"/>
      <c r="N71" s="59"/>
      <c r="O71" s="33"/>
      <c r="P71" s="53"/>
      <c r="Q71" s="54"/>
      <c r="R71" s="54"/>
      <c r="S71" s="54"/>
      <c r="T71" s="59"/>
    </row>
    <row r="72" ht="13.5" outlineLevel="1" spans="3:20">
      <c r="C72" s="27">
        <v>0.9375</v>
      </c>
      <c r="D72" s="27">
        <v>0.958333333333333</v>
      </c>
      <c r="E72" s="28" t="s">
        <v>401</v>
      </c>
      <c r="F72" s="29"/>
      <c r="H72" s="32" t="s">
        <v>386</v>
      </c>
      <c r="I72" s="49" t="s">
        <v>411</v>
      </c>
      <c r="J72" s="50"/>
      <c r="K72" s="50"/>
      <c r="L72" s="50"/>
      <c r="M72" s="50"/>
      <c r="N72" s="58"/>
      <c r="O72" s="32" t="s">
        <v>386</v>
      </c>
      <c r="P72" s="49"/>
      <c r="Q72" s="50"/>
      <c r="R72" s="50"/>
      <c r="S72" s="50"/>
      <c r="T72" s="58"/>
    </row>
    <row r="73" ht="13.5" customHeight="1" outlineLevel="1" spans="3:20">
      <c r="C73" s="27">
        <v>0.958333333333333</v>
      </c>
      <c r="D73" s="27">
        <v>0</v>
      </c>
      <c r="E73" s="28" t="s">
        <v>376</v>
      </c>
      <c r="F73" s="29"/>
      <c r="H73" s="33"/>
      <c r="I73" s="53"/>
      <c r="J73" s="54"/>
      <c r="K73" s="54"/>
      <c r="L73" s="54"/>
      <c r="M73" s="54"/>
      <c r="N73" s="59"/>
      <c r="O73" s="33"/>
      <c r="P73" s="53"/>
      <c r="Q73" s="54"/>
      <c r="R73" s="54"/>
      <c r="S73" s="54"/>
      <c r="T73" s="59"/>
    </row>
    <row r="74" ht="13.5" spans="3:20">
      <c r="C74" s="20" t="s">
        <v>412</v>
      </c>
      <c r="D74" s="21"/>
      <c r="E74" s="21"/>
      <c r="F74" s="21"/>
      <c r="G74" s="21"/>
      <c r="H74" s="21"/>
      <c r="I74" s="21"/>
      <c r="J74" s="21"/>
      <c r="K74" s="21"/>
      <c r="L74" s="21"/>
      <c r="M74" s="21"/>
      <c r="N74" s="21"/>
      <c r="O74" s="21"/>
      <c r="P74" s="21"/>
      <c r="Q74" s="21"/>
      <c r="R74" s="21"/>
      <c r="S74" s="21"/>
      <c r="T74" s="60"/>
    </row>
    <row r="75" ht="13.5" customHeight="1" spans="3:20">
      <c r="C75" s="22" t="s">
        <v>374</v>
      </c>
      <c r="D75" s="23"/>
      <c r="E75" s="23"/>
      <c r="F75" s="24"/>
      <c r="H75" s="25" t="s">
        <v>375</v>
      </c>
      <c r="I75" s="37"/>
      <c r="J75" s="37"/>
      <c r="K75" s="37"/>
      <c r="L75" s="37"/>
      <c r="M75" s="37"/>
      <c r="N75" s="37"/>
      <c r="O75" s="37"/>
      <c r="P75" s="37"/>
      <c r="Q75" s="37"/>
      <c r="R75" s="37"/>
      <c r="S75" s="37"/>
      <c r="T75" s="61"/>
    </row>
    <row r="76" ht="13.5" customHeight="1" spans="3:20">
      <c r="C76" s="27">
        <v>0</v>
      </c>
      <c r="D76" s="27">
        <v>0.197916666666667</v>
      </c>
      <c r="E76" s="28" t="s">
        <v>383</v>
      </c>
      <c r="F76" s="29"/>
      <c r="H76" s="30"/>
      <c r="I76" s="38"/>
      <c r="J76" s="38"/>
      <c r="K76" s="38"/>
      <c r="L76" s="38"/>
      <c r="M76" s="38"/>
      <c r="N76" s="38"/>
      <c r="O76" s="38"/>
      <c r="P76" s="38"/>
      <c r="Q76" s="38"/>
      <c r="R76" s="38"/>
      <c r="S76" s="38"/>
      <c r="T76" s="62"/>
    </row>
    <row r="77" ht="13.5" spans="3:20">
      <c r="C77" s="27">
        <v>0.208333333333333</v>
      </c>
      <c r="D77" s="27">
        <v>0.25</v>
      </c>
      <c r="E77" s="28" t="s">
        <v>383</v>
      </c>
      <c r="F77" s="29"/>
      <c r="H77" s="31" t="s">
        <v>378</v>
      </c>
      <c r="I77" s="39"/>
      <c r="J77" s="39"/>
      <c r="K77" s="39"/>
      <c r="L77" s="39"/>
      <c r="M77" s="39"/>
      <c r="N77" s="40"/>
      <c r="O77" s="31" t="s">
        <v>379</v>
      </c>
      <c r="P77" s="39"/>
      <c r="Q77" s="39"/>
      <c r="R77" s="40"/>
      <c r="S77" s="28"/>
      <c r="T77" s="29"/>
    </row>
    <row r="78" ht="13.5" customHeight="1" spans="3:20">
      <c r="C78" s="27">
        <v>0.25</v>
      </c>
      <c r="D78" s="27">
        <v>0.302083333333333</v>
      </c>
      <c r="E78" s="28" t="s">
        <v>383</v>
      </c>
      <c r="F78" s="29"/>
      <c r="H78" s="32" t="s">
        <v>381</v>
      </c>
      <c r="I78" s="41"/>
      <c r="J78" s="42"/>
      <c r="K78" s="43"/>
      <c r="L78" s="43"/>
      <c r="M78" s="43"/>
      <c r="N78" s="44"/>
      <c r="O78" s="31" t="s">
        <v>382</v>
      </c>
      <c r="P78" s="39"/>
      <c r="Q78" s="39"/>
      <c r="R78" s="39"/>
      <c r="S78" s="39"/>
      <c r="T78" s="40"/>
    </row>
    <row r="79" ht="13.5" spans="3:20">
      <c r="C79" s="27">
        <v>0.3125</v>
      </c>
      <c r="D79" s="27">
        <v>0.333333333333333</v>
      </c>
      <c r="E79" s="28" t="s">
        <v>383</v>
      </c>
      <c r="F79" s="29"/>
      <c r="H79" s="33"/>
      <c r="I79" s="45"/>
      <c r="J79" s="46"/>
      <c r="K79" s="47"/>
      <c r="L79" s="47"/>
      <c r="M79" s="47"/>
      <c r="N79" s="48"/>
      <c r="O79" s="49"/>
      <c r="P79" s="50"/>
      <c r="Q79" s="50"/>
      <c r="R79" s="50"/>
      <c r="S79" s="50"/>
      <c r="T79" s="58"/>
    </row>
    <row r="80" ht="13.5" spans="3:20">
      <c r="C80" s="27">
        <v>0.333333333333333</v>
      </c>
      <c r="D80" s="27">
        <v>0.375</v>
      </c>
      <c r="E80" s="28" t="s">
        <v>383</v>
      </c>
      <c r="F80" s="29"/>
      <c r="H80" s="32" t="s">
        <v>384</v>
      </c>
      <c r="I80" s="41"/>
      <c r="J80" s="42"/>
      <c r="K80" s="43"/>
      <c r="L80" s="43"/>
      <c r="M80" s="43"/>
      <c r="N80" s="44"/>
      <c r="O80" s="51"/>
      <c r="P80" s="52"/>
      <c r="Q80" s="52"/>
      <c r="R80" s="52"/>
      <c r="S80" s="52"/>
      <c r="T80" s="64"/>
    </row>
    <row r="81" ht="13.5" spans="3:20">
      <c r="C81" s="27">
        <v>0.375</v>
      </c>
      <c r="D81" s="27">
        <v>0.416666666666667</v>
      </c>
      <c r="E81" s="28" t="s">
        <v>383</v>
      </c>
      <c r="F81" s="29"/>
      <c r="H81" s="33"/>
      <c r="I81" s="45"/>
      <c r="J81" s="46"/>
      <c r="K81" s="47"/>
      <c r="L81" s="47"/>
      <c r="M81" s="47"/>
      <c r="N81" s="48"/>
      <c r="O81" s="51"/>
      <c r="P81" s="52"/>
      <c r="Q81" s="52"/>
      <c r="R81" s="52"/>
      <c r="S81" s="52"/>
      <c r="T81" s="64"/>
    </row>
    <row r="82" ht="13.5" spans="3:20">
      <c r="C82" s="27">
        <v>0.416666666666667</v>
      </c>
      <c r="D82" s="27">
        <v>0.458333333333333</v>
      </c>
      <c r="E82" s="28" t="s">
        <v>383</v>
      </c>
      <c r="F82" s="29"/>
      <c r="H82" s="32" t="s">
        <v>386</v>
      </c>
      <c r="I82" s="41"/>
      <c r="J82" s="42"/>
      <c r="K82" s="43"/>
      <c r="L82" s="43"/>
      <c r="M82" s="43"/>
      <c r="N82" s="44"/>
      <c r="O82" s="51"/>
      <c r="P82" s="52"/>
      <c r="Q82" s="52"/>
      <c r="R82" s="52"/>
      <c r="S82" s="52"/>
      <c r="T82" s="64"/>
    </row>
    <row r="83" ht="13.5" spans="3:20">
      <c r="C83" s="27">
        <v>0.458333333333333</v>
      </c>
      <c r="D83" s="27">
        <v>0.5</v>
      </c>
      <c r="E83" s="28" t="s">
        <v>383</v>
      </c>
      <c r="F83" s="29"/>
      <c r="H83" s="33"/>
      <c r="I83" s="45"/>
      <c r="J83" s="46"/>
      <c r="K83" s="47"/>
      <c r="L83" s="47"/>
      <c r="M83" s="47"/>
      <c r="N83" s="48"/>
      <c r="O83" s="51"/>
      <c r="P83" s="52"/>
      <c r="Q83" s="52"/>
      <c r="R83" s="52"/>
      <c r="S83" s="52"/>
      <c r="T83" s="64"/>
    </row>
    <row r="84" ht="13.5" spans="3:20">
      <c r="C84" s="27">
        <v>0.510416666666667</v>
      </c>
      <c r="D84" s="27">
        <v>0.552083333333333</v>
      </c>
      <c r="E84" s="28" t="s">
        <v>383</v>
      </c>
      <c r="F84" s="29"/>
      <c r="H84" s="32" t="s">
        <v>389</v>
      </c>
      <c r="I84" s="41"/>
      <c r="J84" s="42"/>
      <c r="K84" s="43"/>
      <c r="L84" s="43"/>
      <c r="M84" s="43"/>
      <c r="N84" s="44"/>
      <c r="O84" s="51"/>
      <c r="P84" s="52"/>
      <c r="Q84" s="52"/>
      <c r="R84" s="52"/>
      <c r="S84" s="52"/>
      <c r="T84" s="64"/>
    </row>
    <row r="85" ht="13.5" spans="3:20">
      <c r="C85" s="27">
        <v>0.552083333333333</v>
      </c>
      <c r="D85" s="27">
        <v>0.583333333333333</v>
      </c>
      <c r="E85" s="28" t="s">
        <v>383</v>
      </c>
      <c r="F85" s="29"/>
      <c r="H85" s="33"/>
      <c r="I85" s="45"/>
      <c r="J85" s="46"/>
      <c r="K85" s="47"/>
      <c r="L85" s="47"/>
      <c r="M85" s="47"/>
      <c r="N85" s="48"/>
      <c r="O85" s="51"/>
      <c r="P85" s="52"/>
      <c r="Q85" s="52"/>
      <c r="R85" s="52"/>
      <c r="S85" s="52"/>
      <c r="T85" s="64"/>
    </row>
    <row r="86" ht="13.5" spans="3:20">
      <c r="C86" s="27">
        <v>0.583333333333333</v>
      </c>
      <c r="D86" s="27">
        <v>0.625</v>
      </c>
      <c r="E86" s="28" t="s">
        <v>383</v>
      </c>
      <c r="F86" s="29"/>
      <c r="H86" s="32" t="s">
        <v>392</v>
      </c>
      <c r="I86" s="41"/>
      <c r="J86" s="42"/>
      <c r="K86" s="43"/>
      <c r="L86" s="43"/>
      <c r="M86" s="43"/>
      <c r="N86" s="44"/>
      <c r="O86" s="51"/>
      <c r="P86" s="52"/>
      <c r="Q86" s="52"/>
      <c r="R86" s="52"/>
      <c r="S86" s="52"/>
      <c r="T86" s="64"/>
    </row>
    <row r="87" ht="13.5" spans="3:20">
      <c r="C87" s="27">
        <v>0.625</v>
      </c>
      <c r="D87" s="27">
        <v>0.666666666666667</v>
      </c>
      <c r="E87" s="28" t="s">
        <v>383</v>
      </c>
      <c r="F87" s="29"/>
      <c r="H87" s="33"/>
      <c r="I87" s="45"/>
      <c r="J87" s="46"/>
      <c r="K87" s="47"/>
      <c r="L87" s="47"/>
      <c r="M87" s="47"/>
      <c r="N87" s="48"/>
      <c r="O87" s="53"/>
      <c r="P87" s="54"/>
      <c r="Q87" s="54"/>
      <c r="R87" s="54"/>
      <c r="S87" s="54"/>
      <c r="T87" s="59"/>
    </row>
    <row r="88" ht="13.5" spans="3:20">
      <c r="C88" s="27">
        <v>0.666666666666667</v>
      </c>
      <c r="D88" s="27">
        <v>0.708333333333333</v>
      </c>
      <c r="E88" s="28" t="s">
        <v>383</v>
      </c>
      <c r="F88" s="29"/>
      <c r="H88" s="34"/>
      <c r="I88" s="55"/>
      <c r="J88" s="55"/>
      <c r="K88" s="55"/>
      <c r="L88" s="55"/>
      <c r="M88" s="55"/>
      <c r="N88" s="55"/>
      <c r="O88" s="55"/>
      <c r="P88" s="55"/>
      <c r="Q88" s="55"/>
      <c r="R88" s="55"/>
      <c r="S88" s="55"/>
      <c r="T88" s="65"/>
    </row>
    <row r="89" ht="13.5" spans="3:20">
      <c r="C89" s="27">
        <v>0.708333333333333</v>
      </c>
      <c r="D89" s="27">
        <v>0.75</v>
      </c>
      <c r="E89" s="28" t="s">
        <v>383</v>
      </c>
      <c r="F89" s="29"/>
      <c r="H89" s="35"/>
      <c r="I89" s="56"/>
      <c r="J89" s="56"/>
      <c r="K89" s="56"/>
      <c r="L89" s="56"/>
      <c r="M89" s="56"/>
      <c r="N89" s="56"/>
      <c r="O89" s="56"/>
      <c r="P89" s="56"/>
      <c r="Q89" s="56"/>
      <c r="R89" s="56"/>
      <c r="S89" s="56"/>
      <c r="T89" s="66"/>
    </row>
    <row r="90" ht="13.5" spans="3:20">
      <c r="C90" s="27">
        <v>0.770833333333333</v>
      </c>
      <c r="D90" s="27">
        <v>0.791666666666667</v>
      </c>
      <c r="E90" s="28" t="s">
        <v>383</v>
      </c>
      <c r="F90" s="29"/>
      <c r="H90" s="36"/>
      <c r="I90" s="57"/>
      <c r="J90" s="57"/>
      <c r="K90" s="57"/>
      <c r="L90" s="57"/>
      <c r="M90" s="57"/>
      <c r="N90" s="57"/>
      <c r="O90" s="57"/>
      <c r="P90" s="57"/>
      <c r="Q90" s="57"/>
      <c r="R90" s="57"/>
      <c r="S90" s="57"/>
      <c r="T90" s="67"/>
    </row>
    <row r="91" ht="13.5" spans="3:20">
      <c r="C91" s="27">
        <v>0.791666666666667</v>
      </c>
      <c r="D91" s="27">
        <v>0.822916666666667</v>
      </c>
      <c r="E91" s="28" t="s">
        <v>383</v>
      </c>
      <c r="F91" s="29"/>
      <c r="H91" s="31" t="s">
        <v>395</v>
      </c>
      <c r="I91" s="39"/>
      <c r="J91" s="39"/>
      <c r="K91" s="39"/>
      <c r="L91" s="39"/>
      <c r="M91" s="39"/>
      <c r="N91" s="40"/>
      <c r="O91" s="31" t="s">
        <v>396</v>
      </c>
      <c r="P91" s="39"/>
      <c r="Q91" s="39"/>
      <c r="R91" s="39"/>
      <c r="S91" s="39"/>
      <c r="T91" s="40"/>
    </row>
    <row r="92" ht="13.5" spans="3:20">
      <c r="C92" s="27">
        <v>0.833333333333333</v>
      </c>
      <c r="D92" s="27">
        <v>0.864583333333333</v>
      </c>
      <c r="E92" s="28" t="s">
        <v>383</v>
      </c>
      <c r="F92" s="29"/>
      <c r="H92" s="32" t="s">
        <v>381</v>
      </c>
      <c r="I92" s="49"/>
      <c r="J92" s="50"/>
      <c r="K92" s="50"/>
      <c r="L92" s="50"/>
      <c r="M92" s="50"/>
      <c r="N92" s="58"/>
      <c r="O92" s="32" t="s">
        <v>381</v>
      </c>
      <c r="P92" s="49"/>
      <c r="Q92" s="50"/>
      <c r="R92" s="50"/>
      <c r="S92" s="50"/>
      <c r="T92" s="58"/>
    </row>
    <row r="93" ht="13.5" spans="3:20">
      <c r="C93" s="27">
        <v>0.875</v>
      </c>
      <c r="D93" s="27">
        <v>0.895833333333333</v>
      </c>
      <c r="E93" s="28" t="s">
        <v>383</v>
      </c>
      <c r="F93" s="29"/>
      <c r="H93" s="33"/>
      <c r="I93" s="53"/>
      <c r="J93" s="54"/>
      <c r="K93" s="54"/>
      <c r="L93" s="54"/>
      <c r="M93" s="54"/>
      <c r="N93" s="59"/>
      <c r="O93" s="33"/>
      <c r="P93" s="53"/>
      <c r="Q93" s="54"/>
      <c r="R93" s="54"/>
      <c r="S93" s="54"/>
      <c r="T93" s="59"/>
    </row>
    <row r="94" ht="13.5" spans="3:20">
      <c r="C94" s="27">
        <v>0.90625</v>
      </c>
      <c r="D94" s="27">
        <v>0.927083333333333</v>
      </c>
      <c r="E94" s="28" t="s">
        <v>383</v>
      </c>
      <c r="F94" s="29"/>
      <c r="H94" s="32" t="s">
        <v>384</v>
      </c>
      <c r="I94" s="49"/>
      <c r="J94" s="50"/>
      <c r="K94" s="50"/>
      <c r="L94" s="50"/>
      <c r="M94" s="50"/>
      <c r="N94" s="58"/>
      <c r="O94" s="32" t="s">
        <v>384</v>
      </c>
      <c r="P94" s="49"/>
      <c r="Q94" s="50"/>
      <c r="R94" s="50"/>
      <c r="S94" s="50"/>
      <c r="T94" s="58"/>
    </row>
    <row r="95" ht="13.5" spans="3:20">
      <c r="C95" s="27">
        <v>0.927083333333333</v>
      </c>
      <c r="D95" s="27">
        <v>0.9375</v>
      </c>
      <c r="E95" s="28" t="s">
        <v>383</v>
      </c>
      <c r="F95" s="29"/>
      <c r="H95" s="33"/>
      <c r="I95" s="53"/>
      <c r="J95" s="54"/>
      <c r="K95" s="54"/>
      <c r="L95" s="54"/>
      <c r="M95" s="54"/>
      <c r="N95" s="59"/>
      <c r="O95" s="33"/>
      <c r="P95" s="53"/>
      <c r="Q95" s="54"/>
      <c r="R95" s="54"/>
      <c r="S95" s="54"/>
      <c r="T95" s="59"/>
    </row>
    <row r="96" ht="13.5" spans="3:20">
      <c r="C96" s="27">
        <v>0.9375</v>
      </c>
      <c r="D96" s="27">
        <v>0.958333333333333</v>
      </c>
      <c r="E96" s="28" t="s">
        <v>383</v>
      </c>
      <c r="F96" s="29"/>
      <c r="H96" s="32" t="s">
        <v>386</v>
      </c>
      <c r="I96" s="49"/>
      <c r="J96" s="50"/>
      <c r="K96" s="50"/>
      <c r="L96" s="50"/>
      <c r="M96" s="50"/>
      <c r="N96" s="58"/>
      <c r="O96" s="32" t="s">
        <v>386</v>
      </c>
      <c r="P96" s="49"/>
      <c r="Q96" s="50"/>
      <c r="R96" s="50"/>
      <c r="S96" s="50"/>
      <c r="T96" s="58"/>
    </row>
    <row r="97" ht="13.5" spans="3:20">
      <c r="C97" s="27">
        <v>0.958333333333333</v>
      </c>
      <c r="D97" s="27">
        <v>0</v>
      </c>
      <c r="E97" s="28" t="s">
        <v>383</v>
      </c>
      <c r="F97" s="29"/>
      <c r="H97" s="33"/>
      <c r="I97" s="53"/>
      <c r="J97" s="54"/>
      <c r="K97" s="54"/>
      <c r="L97" s="54"/>
      <c r="M97" s="54"/>
      <c r="N97" s="59"/>
      <c r="O97" s="33"/>
      <c r="P97" s="53"/>
      <c r="Q97" s="54"/>
      <c r="R97" s="54"/>
      <c r="S97" s="54"/>
      <c r="T97" s="59"/>
    </row>
    <row r="98" ht="13.5" spans="3:20">
      <c r="C98" s="20" t="s">
        <v>413</v>
      </c>
      <c r="D98" s="21"/>
      <c r="E98" s="21"/>
      <c r="F98" s="21"/>
      <c r="G98" s="21"/>
      <c r="H98" s="21"/>
      <c r="I98" s="21"/>
      <c r="J98" s="21"/>
      <c r="K98" s="21"/>
      <c r="L98" s="21"/>
      <c r="M98" s="21"/>
      <c r="N98" s="21"/>
      <c r="O98" s="21"/>
      <c r="P98" s="21"/>
      <c r="Q98" s="21"/>
      <c r="R98" s="21"/>
      <c r="S98" s="21"/>
      <c r="T98" s="60"/>
    </row>
    <row r="99" ht="13.5" customHeight="1" spans="3:20">
      <c r="C99" s="22" t="s">
        <v>374</v>
      </c>
      <c r="D99" s="23"/>
      <c r="E99" s="23"/>
      <c r="F99" s="24"/>
      <c r="H99" s="25" t="s">
        <v>375</v>
      </c>
      <c r="I99" s="37"/>
      <c r="J99" s="37"/>
      <c r="K99" s="37"/>
      <c r="L99" s="37"/>
      <c r="M99" s="37"/>
      <c r="N99" s="37"/>
      <c r="O99" s="37"/>
      <c r="P99" s="37"/>
      <c r="Q99" s="37"/>
      <c r="R99" s="37"/>
      <c r="S99" s="37"/>
      <c r="T99" s="61"/>
    </row>
    <row r="100" ht="13.5" customHeight="1" spans="3:20">
      <c r="C100" s="27" t="s">
        <v>414</v>
      </c>
      <c r="D100" s="27">
        <v>0.197916666666667</v>
      </c>
      <c r="E100" s="28" t="s">
        <v>383</v>
      </c>
      <c r="F100" s="29"/>
      <c r="H100" s="30"/>
      <c r="I100" s="38"/>
      <c r="J100" s="38"/>
      <c r="K100" s="38"/>
      <c r="L100" s="38"/>
      <c r="M100" s="38"/>
      <c r="N100" s="38"/>
      <c r="O100" s="38"/>
      <c r="P100" s="38"/>
      <c r="Q100" s="38"/>
      <c r="R100" s="38"/>
      <c r="S100" s="38"/>
      <c r="T100" s="62"/>
    </row>
    <row r="101" ht="13.5" spans="3:20">
      <c r="C101" s="27">
        <v>0.229166666666667</v>
      </c>
      <c r="D101" s="27">
        <v>0.270833333333333</v>
      </c>
      <c r="E101" s="28" t="s">
        <v>383</v>
      </c>
      <c r="F101" s="29"/>
      <c r="H101" s="31" t="s">
        <v>378</v>
      </c>
      <c r="I101" s="39"/>
      <c r="J101" s="39"/>
      <c r="K101" s="39"/>
      <c r="L101" s="39"/>
      <c r="M101" s="39"/>
      <c r="N101" s="40"/>
      <c r="O101" s="31" t="s">
        <v>379</v>
      </c>
      <c r="P101" s="39"/>
      <c r="Q101" s="39"/>
      <c r="R101" s="40"/>
      <c r="S101" s="28"/>
      <c r="T101" s="29"/>
    </row>
    <row r="102" ht="13.5" customHeight="1" spans="3:20">
      <c r="C102" s="27">
        <v>0.270833333333333</v>
      </c>
      <c r="D102" s="27">
        <v>0.3125</v>
      </c>
      <c r="E102" s="28" t="s">
        <v>383</v>
      </c>
      <c r="F102" s="29"/>
      <c r="H102" s="32" t="s">
        <v>381</v>
      </c>
      <c r="I102" s="41"/>
      <c r="J102" s="42"/>
      <c r="K102" s="43"/>
      <c r="L102" s="43"/>
      <c r="M102" s="43"/>
      <c r="N102" s="44"/>
      <c r="O102" s="31" t="s">
        <v>382</v>
      </c>
      <c r="P102" s="39"/>
      <c r="Q102" s="39"/>
      <c r="R102" s="39"/>
      <c r="S102" s="39"/>
      <c r="T102" s="40"/>
    </row>
    <row r="103" ht="13.5" spans="3:20">
      <c r="C103" s="27">
        <v>0.3125</v>
      </c>
      <c r="D103" s="27">
        <v>0.333333333333333</v>
      </c>
      <c r="E103" s="28" t="s">
        <v>383</v>
      </c>
      <c r="F103" s="29"/>
      <c r="H103" s="33"/>
      <c r="I103" s="45"/>
      <c r="J103" s="46"/>
      <c r="K103" s="47"/>
      <c r="L103" s="47"/>
      <c r="M103" s="47"/>
      <c r="N103" s="48"/>
      <c r="O103" s="49"/>
      <c r="P103" s="50"/>
      <c r="Q103" s="50"/>
      <c r="R103" s="50"/>
      <c r="S103" s="50"/>
      <c r="T103" s="58"/>
    </row>
    <row r="104" ht="13.5" spans="3:20">
      <c r="C104" s="27">
        <v>0.333333333333333</v>
      </c>
      <c r="D104" s="27">
        <v>0.375</v>
      </c>
      <c r="E104" s="28" t="s">
        <v>383</v>
      </c>
      <c r="F104" s="29"/>
      <c r="H104" s="32" t="s">
        <v>384</v>
      </c>
      <c r="I104" s="41"/>
      <c r="J104" s="42"/>
      <c r="K104" s="43"/>
      <c r="L104" s="43"/>
      <c r="M104" s="43"/>
      <c r="N104" s="44"/>
      <c r="O104" s="51"/>
      <c r="P104" s="52"/>
      <c r="Q104" s="52"/>
      <c r="R104" s="52"/>
      <c r="S104" s="52"/>
      <c r="T104" s="64"/>
    </row>
    <row r="105" ht="13.5" spans="3:20">
      <c r="C105" s="27">
        <v>0.375</v>
      </c>
      <c r="D105" s="27">
        <v>0.416666666666667</v>
      </c>
      <c r="E105" s="28" t="s">
        <v>383</v>
      </c>
      <c r="F105" s="29"/>
      <c r="H105" s="33"/>
      <c r="I105" s="45"/>
      <c r="J105" s="46"/>
      <c r="K105" s="47"/>
      <c r="L105" s="47"/>
      <c r="M105" s="47"/>
      <c r="N105" s="48"/>
      <c r="O105" s="51"/>
      <c r="P105" s="52"/>
      <c r="Q105" s="52"/>
      <c r="R105" s="52"/>
      <c r="S105" s="52"/>
      <c r="T105" s="64"/>
    </row>
    <row r="106" ht="13.5" spans="3:20">
      <c r="C106" s="27">
        <v>0.416666666666667</v>
      </c>
      <c r="D106" s="27">
        <v>0.458333333333333</v>
      </c>
      <c r="E106" s="28" t="s">
        <v>383</v>
      </c>
      <c r="F106" s="29"/>
      <c r="H106" s="32" t="s">
        <v>386</v>
      </c>
      <c r="I106" s="41"/>
      <c r="J106" s="42"/>
      <c r="K106" s="43"/>
      <c r="L106" s="43"/>
      <c r="M106" s="43"/>
      <c r="N106" s="44"/>
      <c r="O106" s="51"/>
      <c r="P106" s="52"/>
      <c r="Q106" s="52"/>
      <c r="R106" s="52"/>
      <c r="S106" s="52"/>
      <c r="T106" s="64"/>
    </row>
    <row r="107" ht="13.5" spans="3:20">
      <c r="C107" s="27">
        <v>0.458333333333333</v>
      </c>
      <c r="D107" s="27">
        <v>0.5</v>
      </c>
      <c r="E107" s="28" t="s">
        <v>383</v>
      </c>
      <c r="F107" s="29"/>
      <c r="H107" s="33"/>
      <c r="I107" s="45"/>
      <c r="J107" s="46"/>
      <c r="K107" s="47"/>
      <c r="L107" s="47"/>
      <c r="M107" s="47"/>
      <c r="N107" s="48"/>
      <c r="O107" s="51"/>
      <c r="P107" s="52"/>
      <c r="Q107" s="52"/>
      <c r="R107" s="52"/>
      <c r="S107" s="52"/>
      <c r="T107" s="64"/>
    </row>
    <row r="108" ht="13.5" spans="3:20">
      <c r="C108" s="27">
        <v>0.5</v>
      </c>
      <c r="D108" s="27">
        <v>0.541666666666667</v>
      </c>
      <c r="E108" s="28" t="s">
        <v>383</v>
      </c>
      <c r="F108" s="29"/>
      <c r="H108" s="32" t="s">
        <v>389</v>
      </c>
      <c r="I108" s="41"/>
      <c r="J108" s="42"/>
      <c r="K108" s="43"/>
      <c r="L108" s="43"/>
      <c r="M108" s="43"/>
      <c r="N108" s="44"/>
      <c r="O108" s="51"/>
      <c r="P108" s="52"/>
      <c r="Q108" s="52"/>
      <c r="R108" s="52"/>
      <c r="S108" s="52"/>
      <c r="T108" s="64"/>
    </row>
    <row r="109" ht="13.5" spans="3:20">
      <c r="C109" s="27">
        <v>0.541666666666667</v>
      </c>
      <c r="D109" s="27">
        <v>0.5625</v>
      </c>
      <c r="E109" s="28" t="s">
        <v>383</v>
      </c>
      <c r="F109" s="29"/>
      <c r="H109" s="33"/>
      <c r="I109" s="45"/>
      <c r="J109" s="46"/>
      <c r="K109" s="47"/>
      <c r="L109" s="47"/>
      <c r="M109" s="47"/>
      <c r="N109" s="48"/>
      <c r="O109" s="51"/>
      <c r="P109" s="52"/>
      <c r="Q109" s="52"/>
      <c r="R109" s="52"/>
      <c r="S109" s="52"/>
      <c r="T109" s="64"/>
    </row>
    <row r="110" ht="13.5" spans="3:20">
      <c r="C110" s="27">
        <v>0.5625</v>
      </c>
      <c r="D110" s="27">
        <v>0.583333333333333</v>
      </c>
      <c r="E110" s="28" t="s">
        <v>383</v>
      </c>
      <c r="F110" s="29"/>
      <c r="H110" s="32" t="s">
        <v>392</v>
      </c>
      <c r="I110" s="41"/>
      <c r="J110" s="42"/>
      <c r="K110" s="43"/>
      <c r="L110" s="43"/>
      <c r="M110" s="43"/>
      <c r="N110" s="44"/>
      <c r="O110" s="51"/>
      <c r="P110" s="52"/>
      <c r="Q110" s="52"/>
      <c r="R110" s="52"/>
      <c r="S110" s="52"/>
      <c r="T110" s="64"/>
    </row>
    <row r="111" ht="13.5" spans="3:20">
      <c r="C111" s="27">
        <v>0.583333333333333</v>
      </c>
      <c r="D111" s="27">
        <v>0.625</v>
      </c>
      <c r="E111" s="28" t="s">
        <v>383</v>
      </c>
      <c r="F111" s="29"/>
      <c r="H111" s="33"/>
      <c r="I111" s="45"/>
      <c r="J111" s="46"/>
      <c r="K111" s="47"/>
      <c r="L111" s="47"/>
      <c r="M111" s="47"/>
      <c r="N111" s="48"/>
      <c r="O111" s="53"/>
      <c r="P111" s="54"/>
      <c r="Q111" s="54"/>
      <c r="R111" s="54"/>
      <c r="S111" s="54"/>
      <c r="T111" s="59"/>
    </row>
    <row r="112" ht="13.5" spans="3:20">
      <c r="C112" s="27">
        <v>0.625</v>
      </c>
      <c r="D112" s="27">
        <v>0.666666666666667</v>
      </c>
      <c r="E112" s="28" t="s">
        <v>383</v>
      </c>
      <c r="F112" s="29"/>
      <c r="H112" s="34"/>
      <c r="I112" s="55"/>
      <c r="J112" s="55"/>
      <c r="K112" s="55"/>
      <c r="L112" s="55"/>
      <c r="M112" s="55"/>
      <c r="N112" s="55"/>
      <c r="O112" s="55"/>
      <c r="P112" s="55"/>
      <c r="Q112" s="55"/>
      <c r="R112" s="55"/>
      <c r="S112" s="55"/>
      <c r="T112" s="65"/>
    </row>
    <row r="113" ht="13.5" spans="3:20">
      <c r="C113" s="27">
        <v>0.666666666666667</v>
      </c>
      <c r="D113" s="27">
        <v>0.708333333333333</v>
      </c>
      <c r="E113" s="28" t="s">
        <v>383</v>
      </c>
      <c r="F113" s="29"/>
      <c r="H113" s="35"/>
      <c r="I113" s="56"/>
      <c r="J113" s="56"/>
      <c r="K113" s="56"/>
      <c r="L113" s="56"/>
      <c r="M113" s="56"/>
      <c r="N113" s="56"/>
      <c r="O113" s="56"/>
      <c r="P113" s="56"/>
      <c r="Q113" s="56"/>
      <c r="R113" s="56"/>
      <c r="S113" s="56"/>
      <c r="T113" s="66"/>
    </row>
    <row r="114" ht="13.5" spans="3:20">
      <c r="C114" s="27">
        <v>0.708333333333333</v>
      </c>
      <c r="D114" s="27">
        <v>0.75</v>
      </c>
      <c r="E114" s="28" t="s">
        <v>383</v>
      </c>
      <c r="F114" s="29"/>
      <c r="H114" s="36"/>
      <c r="I114" s="57"/>
      <c r="J114" s="57"/>
      <c r="K114" s="57"/>
      <c r="L114" s="57"/>
      <c r="M114" s="57"/>
      <c r="N114" s="57"/>
      <c r="O114" s="57"/>
      <c r="P114" s="57"/>
      <c r="Q114" s="57"/>
      <c r="R114" s="57"/>
      <c r="S114" s="57"/>
      <c r="T114" s="67"/>
    </row>
    <row r="115" ht="13.5" spans="3:20">
      <c r="C115" s="27">
        <v>0.770833333333333</v>
      </c>
      <c r="D115" s="27">
        <v>0.791666666666667</v>
      </c>
      <c r="E115" s="28" t="s">
        <v>383</v>
      </c>
      <c r="F115" s="29"/>
      <c r="H115" s="31" t="s">
        <v>395</v>
      </c>
      <c r="I115" s="39"/>
      <c r="J115" s="39"/>
      <c r="K115" s="39"/>
      <c r="L115" s="39"/>
      <c r="M115" s="39"/>
      <c r="N115" s="40"/>
      <c r="O115" s="31" t="s">
        <v>396</v>
      </c>
      <c r="P115" s="39"/>
      <c r="Q115" s="39"/>
      <c r="R115" s="39"/>
      <c r="S115" s="39"/>
      <c r="T115" s="40"/>
    </row>
    <row r="116" ht="13.5" spans="3:20">
      <c r="C116" s="27">
        <v>0.791666666666667</v>
      </c>
      <c r="D116" s="27">
        <v>0.8125</v>
      </c>
      <c r="E116" s="28" t="s">
        <v>383</v>
      </c>
      <c r="F116" s="29"/>
      <c r="H116" s="32" t="s">
        <v>381</v>
      </c>
      <c r="I116" s="49"/>
      <c r="J116" s="50"/>
      <c r="K116" s="50"/>
      <c r="L116" s="50"/>
      <c r="M116" s="50"/>
      <c r="N116" s="58"/>
      <c r="O116" s="32" t="s">
        <v>381</v>
      </c>
      <c r="P116" s="49"/>
      <c r="Q116" s="50"/>
      <c r="R116" s="50"/>
      <c r="S116" s="50"/>
      <c r="T116" s="58"/>
    </row>
    <row r="117" ht="13.5" spans="3:20">
      <c r="C117" s="27">
        <v>0.8125</v>
      </c>
      <c r="D117" s="27">
        <v>0.833333333333333</v>
      </c>
      <c r="E117" s="28" t="s">
        <v>383</v>
      </c>
      <c r="F117" s="29"/>
      <c r="H117" s="33"/>
      <c r="I117" s="53"/>
      <c r="J117" s="54"/>
      <c r="K117" s="54"/>
      <c r="L117" s="54"/>
      <c r="M117" s="54"/>
      <c r="N117" s="59"/>
      <c r="O117" s="33"/>
      <c r="P117" s="53"/>
      <c r="Q117" s="54"/>
      <c r="R117" s="54"/>
      <c r="S117" s="54"/>
      <c r="T117" s="59"/>
    </row>
    <row r="118" ht="13.5" spans="3:20">
      <c r="C118" s="27">
        <v>0.833333333333333</v>
      </c>
      <c r="D118" s="27">
        <v>0.875</v>
      </c>
      <c r="E118" s="28" t="s">
        <v>383</v>
      </c>
      <c r="F118" s="29"/>
      <c r="H118" s="32" t="s">
        <v>384</v>
      </c>
      <c r="I118" s="49"/>
      <c r="J118" s="50"/>
      <c r="K118" s="50"/>
      <c r="L118" s="50"/>
      <c r="M118" s="50"/>
      <c r="N118" s="58"/>
      <c r="O118" s="32" t="s">
        <v>384</v>
      </c>
      <c r="P118" s="49"/>
      <c r="Q118" s="50"/>
      <c r="R118" s="50"/>
      <c r="S118" s="50"/>
      <c r="T118" s="58"/>
    </row>
    <row r="119" ht="13.5" spans="3:20">
      <c r="C119" s="27">
        <v>0.875</v>
      </c>
      <c r="D119" s="27">
        <v>0.916666666666667</v>
      </c>
      <c r="E119" s="28" t="s">
        <v>383</v>
      </c>
      <c r="F119" s="29"/>
      <c r="H119" s="33"/>
      <c r="I119" s="53"/>
      <c r="J119" s="54"/>
      <c r="K119" s="54"/>
      <c r="L119" s="54"/>
      <c r="M119" s="54"/>
      <c r="N119" s="59"/>
      <c r="O119" s="33"/>
      <c r="P119" s="53"/>
      <c r="Q119" s="54"/>
      <c r="R119" s="54"/>
      <c r="S119" s="54"/>
      <c r="T119" s="59"/>
    </row>
    <row r="120" ht="13.5" spans="3:20">
      <c r="C120" s="27">
        <v>0.916666666666667</v>
      </c>
      <c r="D120" s="27">
        <v>0.958333333333333</v>
      </c>
      <c r="E120" s="28" t="s">
        <v>383</v>
      </c>
      <c r="F120" s="29"/>
      <c r="H120" s="32" t="s">
        <v>386</v>
      </c>
      <c r="I120" s="49"/>
      <c r="J120" s="50"/>
      <c r="K120" s="50"/>
      <c r="L120" s="50"/>
      <c r="M120" s="50"/>
      <c r="N120" s="58"/>
      <c r="O120" s="32" t="s">
        <v>386</v>
      </c>
      <c r="P120" s="49"/>
      <c r="Q120" s="50"/>
      <c r="R120" s="50"/>
      <c r="S120" s="50"/>
      <c r="T120" s="58"/>
    </row>
    <row r="121" ht="13.5" spans="3:20">
      <c r="C121" s="27">
        <v>0.958333333333333</v>
      </c>
      <c r="D121" s="27">
        <v>0</v>
      </c>
      <c r="E121" s="28" t="s">
        <v>383</v>
      </c>
      <c r="F121" s="29"/>
      <c r="H121" s="33"/>
      <c r="I121" s="53"/>
      <c r="J121" s="54"/>
      <c r="K121" s="54"/>
      <c r="L121" s="54"/>
      <c r="M121" s="54"/>
      <c r="N121" s="59"/>
      <c r="O121" s="33"/>
      <c r="P121" s="53"/>
      <c r="Q121" s="54"/>
      <c r="R121" s="54"/>
      <c r="S121" s="54"/>
      <c r="T121" s="59"/>
    </row>
    <row r="122" ht="13.5" spans="3:20">
      <c r="C122" s="20" t="s">
        <v>415</v>
      </c>
      <c r="D122" s="21"/>
      <c r="E122" s="21"/>
      <c r="F122" s="21"/>
      <c r="G122" s="21"/>
      <c r="H122" s="21"/>
      <c r="I122" s="21"/>
      <c r="J122" s="21"/>
      <c r="K122" s="21"/>
      <c r="L122" s="21"/>
      <c r="M122" s="21"/>
      <c r="N122" s="21"/>
      <c r="O122" s="21"/>
      <c r="P122" s="21"/>
      <c r="Q122" s="21"/>
      <c r="R122" s="21"/>
      <c r="S122" s="21"/>
      <c r="T122" s="60"/>
    </row>
    <row r="123" ht="13.5" customHeight="1" spans="3:20">
      <c r="C123" s="22" t="s">
        <v>374</v>
      </c>
      <c r="D123" s="23"/>
      <c r="E123" s="23"/>
      <c r="F123" s="24"/>
      <c r="H123" s="25" t="s">
        <v>375</v>
      </c>
      <c r="I123" s="37"/>
      <c r="J123" s="37"/>
      <c r="K123" s="37"/>
      <c r="L123" s="37"/>
      <c r="M123" s="37"/>
      <c r="N123" s="37"/>
      <c r="O123" s="37"/>
      <c r="P123" s="37"/>
      <c r="Q123" s="37"/>
      <c r="R123" s="37"/>
      <c r="S123" s="37"/>
      <c r="T123" s="61"/>
    </row>
    <row r="124" ht="13.5" customHeight="1" spans="3:20">
      <c r="C124" s="27" t="s">
        <v>414</v>
      </c>
      <c r="D124" s="27">
        <v>0.197916666666667</v>
      </c>
      <c r="E124" s="28" t="s">
        <v>383</v>
      </c>
      <c r="F124" s="29"/>
      <c r="H124" s="30"/>
      <c r="I124" s="38"/>
      <c r="J124" s="38"/>
      <c r="K124" s="38"/>
      <c r="L124" s="38"/>
      <c r="M124" s="38"/>
      <c r="N124" s="38"/>
      <c r="O124" s="38"/>
      <c r="P124" s="38"/>
      <c r="Q124" s="38"/>
      <c r="R124" s="38"/>
      <c r="S124" s="38"/>
      <c r="T124" s="62"/>
    </row>
    <row r="125" ht="13.5" spans="3:20">
      <c r="C125" s="27">
        <v>0.229166666666667</v>
      </c>
      <c r="D125" s="27">
        <v>0.270833333333333</v>
      </c>
      <c r="E125" s="28" t="s">
        <v>383</v>
      </c>
      <c r="F125" s="29"/>
      <c r="H125" s="31" t="s">
        <v>378</v>
      </c>
      <c r="I125" s="39"/>
      <c r="J125" s="39"/>
      <c r="K125" s="39"/>
      <c r="L125" s="39"/>
      <c r="M125" s="39"/>
      <c r="N125" s="40"/>
      <c r="O125" s="31" t="s">
        <v>379</v>
      </c>
      <c r="P125" s="39"/>
      <c r="Q125" s="39"/>
      <c r="R125" s="40"/>
      <c r="S125" s="28"/>
      <c r="T125" s="29"/>
    </row>
    <row r="126" ht="13.5" customHeight="1" spans="3:20">
      <c r="C126" s="27">
        <v>0.270833333333333</v>
      </c>
      <c r="D126" s="27">
        <v>0.3125</v>
      </c>
      <c r="E126" s="28" t="s">
        <v>383</v>
      </c>
      <c r="F126" s="29"/>
      <c r="H126" s="32" t="s">
        <v>381</v>
      </c>
      <c r="I126" s="41"/>
      <c r="J126" s="42"/>
      <c r="K126" s="43"/>
      <c r="L126" s="43"/>
      <c r="M126" s="43"/>
      <c r="N126" s="44"/>
      <c r="O126" s="31" t="s">
        <v>382</v>
      </c>
      <c r="P126" s="39"/>
      <c r="Q126" s="39"/>
      <c r="R126" s="39"/>
      <c r="S126" s="39"/>
      <c r="T126" s="40"/>
    </row>
    <row r="127" ht="13.5" spans="3:20">
      <c r="C127" s="27">
        <v>0.3125</v>
      </c>
      <c r="D127" s="27">
        <v>0.333333333333333</v>
      </c>
      <c r="E127" s="28" t="s">
        <v>383</v>
      </c>
      <c r="F127" s="29"/>
      <c r="H127" s="33"/>
      <c r="I127" s="45"/>
      <c r="J127" s="46"/>
      <c r="K127" s="47"/>
      <c r="L127" s="47"/>
      <c r="M127" s="47"/>
      <c r="N127" s="48"/>
      <c r="O127" s="49"/>
      <c r="P127" s="50"/>
      <c r="Q127" s="50"/>
      <c r="R127" s="50"/>
      <c r="S127" s="50"/>
      <c r="T127" s="58"/>
    </row>
    <row r="128" ht="13.5" spans="3:20">
      <c r="C128" s="27">
        <v>0.333333333333333</v>
      </c>
      <c r="D128" s="27">
        <v>0.375</v>
      </c>
      <c r="E128" s="28" t="s">
        <v>383</v>
      </c>
      <c r="F128" s="29"/>
      <c r="H128" s="32" t="s">
        <v>384</v>
      </c>
      <c r="I128" s="41"/>
      <c r="J128" s="42"/>
      <c r="K128" s="43"/>
      <c r="L128" s="43"/>
      <c r="M128" s="43"/>
      <c r="N128" s="44"/>
      <c r="O128" s="51"/>
      <c r="P128" s="52"/>
      <c r="Q128" s="52"/>
      <c r="R128" s="52"/>
      <c r="S128" s="52"/>
      <c r="T128" s="64"/>
    </row>
    <row r="129" ht="13.5" spans="3:20">
      <c r="C129" s="27">
        <v>0.375</v>
      </c>
      <c r="D129" s="27">
        <v>0.416666666666667</v>
      </c>
      <c r="E129" s="28" t="s">
        <v>383</v>
      </c>
      <c r="F129" s="29"/>
      <c r="H129" s="33"/>
      <c r="I129" s="45"/>
      <c r="J129" s="46"/>
      <c r="K129" s="47"/>
      <c r="L129" s="47"/>
      <c r="M129" s="47"/>
      <c r="N129" s="48"/>
      <c r="O129" s="51"/>
      <c r="P129" s="52"/>
      <c r="Q129" s="52"/>
      <c r="R129" s="52"/>
      <c r="S129" s="52"/>
      <c r="T129" s="64"/>
    </row>
    <row r="130" ht="13.5" spans="3:20">
      <c r="C130" s="27">
        <v>0.416666666666667</v>
      </c>
      <c r="D130" s="27">
        <v>0.458333333333333</v>
      </c>
      <c r="E130" s="28" t="s">
        <v>383</v>
      </c>
      <c r="F130" s="29"/>
      <c r="H130" s="32" t="s">
        <v>386</v>
      </c>
      <c r="I130" s="41"/>
      <c r="J130" s="42"/>
      <c r="K130" s="43"/>
      <c r="L130" s="43"/>
      <c r="M130" s="43"/>
      <c r="N130" s="44"/>
      <c r="O130" s="51"/>
      <c r="P130" s="52"/>
      <c r="Q130" s="52"/>
      <c r="R130" s="52"/>
      <c r="S130" s="52"/>
      <c r="T130" s="64"/>
    </row>
    <row r="131" ht="13.5" spans="3:20">
      <c r="C131" s="27">
        <v>0.458333333333333</v>
      </c>
      <c r="D131" s="27">
        <v>0.5</v>
      </c>
      <c r="E131" s="28" t="s">
        <v>383</v>
      </c>
      <c r="F131" s="29"/>
      <c r="H131" s="33"/>
      <c r="I131" s="45"/>
      <c r="J131" s="46"/>
      <c r="K131" s="47"/>
      <c r="L131" s="47"/>
      <c r="M131" s="47"/>
      <c r="N131" s="48"/>
      <c r="O131" s="51"/>
      <c r="P131" s="52"/>
      <c r="Q131" s="52"/>
      <c r="R131" s="52"/>
      <c r="S131" s="52"/>
      <c r="T131" s="64"/>
    </row>
    <row r="132" ht="13.5" spans="3:20">
      <c r="C132" s="27">
        <v>0.5</v>
      </c>
      <c r="D132" s="27">
        <v>0.541666666666667</v>
      </c>
      <c r="E132" s="28" t="s">
        <v>383</v>
      </c>
      <c r="F132" s="29"/>
      <c r="H132" s="32" t="s">
        <v>389</v>
      </c>
      <c r="I132" s="41"/>
      <c r="J132" s="42"/>
      <c r="K132" s="43"/>
      <c r="L132" s="43"/>
      <c r="M132" s="43"/>
      <c r="N132" s="44"/>
      <c r="O132" s="51"/>
      <c r="P132" s="52"/>
      <c r="Q132" s="52"/>
      <c r="R132" s="52"/>
      <c r="S132" s="52"/>
      <c r="T132" s="64"/>
    </row>
    <row r="133" ht="13.5" spans="3:20">
      <c r="C133" s="27">
        <v>0.541666666666667</v>
      </c>
      <c r="D133" s="27">
        <v>0.5625</v>
      </c>
      <c r="E133" s="28" t="s">
        <v>383</v>
      </c>
      <c r="F133" s="29"/>
      <c r="H133" s="33"/>
      <c r="I133" s="45"/>
      <c r="J133" s="46"/>
      <c r="K133" s="47"/>
      <c r="L133" s="47"/>
      <c r="M133" s="47"/>
      <c r="N133" s="48"/>
      <c r="O133" s="51"/>
      <c r="P133" s="52"/>
      <c r="Q133" s="52"/>
      <c r="R133" s="52"/>
      <c r="S133" s="52"/>
      <c r="T133" s="64"/>
    </row>
    <row r="134" ht="13.5" spans="3:20">
      <c r="C134" s="27">
        <v>0.5625</v>
      </c>
      <c r="D134" s="27">
        <v>0.583333333333333</v>
      </c>
      <c r="E134" s="28" t="s">
        <v>383</v>
      </c>
      <c r="F134" s="29"/>
      <c r="H134" s="32" t="s">
        <v>392</v>
      </c>
      <c r="I134" s="41"/>
      <c r="J134" s="42"/>
      <c r="K134" s="43"/>
      <c r="L134" s="43"/>
      <c r="M134" s="43"/>
      <c r="N134" s="44"/>
      <c r="O134" s="51"/>
      <c r="P134" s="52"/>
      <c r="Q134" s="52"/>
      <c r="R134" s="52"/>
      <c r="S134" s="52"/>
      <c r="T134" s="64"/>
    </row>
    <row r="135" ht="13.5" spans="3:20">
      <c r="C135" s="27">
        <v>0.583333333333333</v>
      </c>
      <c r="D135" s="27">
        <v>0.625</v>
      </c>
      <c r="E135" s="28" t="s">
        <v>383</v>
      </c>
      <c r="F135" s="29"/>
      <c r="H135" s="33"/>
      <c r="I135" s="45"/>
      <c r="J135" s="46"/>
      <c r="K135" s="47"/>
      <c r="L135" s="47"/>
      <c r="M135" s="47"/>
      <c r="N135" s="48"/>
      <c r="O135" s="53"/>
      <c r="P135" s="54"/>
      <c r="Q135" s="54"/>
      <c r="R135" s="54"/>
      <c r="S135" s="54"/>
      <c r="T135" s="59"/>
    </row>
    <row r="136" ht="13.5" spans="3:20">
      <c r="C136" s="27">
        <v>0.625</v>
      </c>
      <c r="D136" s="27">
        <v>0.666666666666667</v>
      </c>
      <c r="E136" s="28" t="s">
        <v>383</v>
      </c>
      <c r="F136" s="29"/>
      <c r="H136" s="34"/>
      <c r="I136" s="55"/>
      <c r="J136" s="55"/>
      <c r="K136" s="55"/>
      <c r="L136" s="55"/>
      <c r="M136" s="55"/>
      <c r="N136" s="55"/>
      <c r="O136" s="55"/>
      <c r="P136" s="55"/>
      <c r="Q136" s="55"/>
      <c r="R136" s="55"/>
      <c r="S136" s="55"/>
      <c r="T136" s="65"/>
    </row>
    <row r="137" ht="13.5" spans="3:20">
      <c r="C137" s="27">
        <v>0.666666666666667</v>
      </c>
      <c r="D137" s="27">
        <v>0.708333333333333</v>
      </c>
      <c r="E137" s="28" t="s">
        <v>383</v>
      </c>
      <c r="F137" s="29"/>
      <c r="H137" s="35"/>
      <c r="I137" s="56"/>
      <c r="J137" s="56"/>
      <c r="K137" s="56"/>
      <c r="L137" s="56"/>
      <c r="M137" s="56"/>
      <c r="N137" s="56"/>
      <c r="O137" s="56"/>
      <c r="P137" s="56"/>
      <c r="Q137" s="56"/>
      <c r="R137" s="56"/>
      <c r="S137" s="56"/>
      <c r="T137" s="66"/>
    </row>
    <row r="138" ht="13.5" spans="3:20">
      <c r="C138" s="27">
        <v>0.708333333333333</v>
      </c>
      <c r="D138" s="27">
        <v>0.75</v>
      </c>
      <c r="E138" s="28" t="s">
        <v>383</v>
      </c>
      <c r="F138" s="29"/>
      <c r="H138" s="36"/>
      <c r="I138" s="57"/>
      <c r="J138" s="57"/>
      <c r="K138" s="57"/>
      <c r="L138" s="57"/>
      <c r="M138" s="57"/>
      <c r="N138" s="57"/>
      <c r="O138" s="57"/>
      <c r="P138" s="57"/>
      <c r="Q138" s="57"/>
      <c r="R138" s="57"/>
      <c r="S138" s="57"/>
      <c r="T138" s="67"/>
    </row>
    <row r="139" ht="13.5" spans="3:20">
      <c r="C139" s="27">
        <v>0.770833333333333</v>
      </c>
      <c r="D139" s="27">
        <v>0.791666666666667</v>
      </c>
      <c r="E139" s="28" t="s">
        <v>383</v>
      </c>
      <c r="F139" s="29"/>
      <c r="H139" s="31" t="s">
        <v>395</v>
      </c>
      <c r="I139" s="39"/>
      <c r="J139" s="39"/>
      <c r="K139" s="39"/>
      <c r="L139" s="39"/>
      <c r="M139" s="39"/>
      <c r="N139" s="40"/>
      <c r="O139" s="31" t="s">
        <v>396</v>
      </c>
      <c r="P139" s="39"/>
      <c r="Q139" s="39"/>
      <c r="R139" s="39"/>
      <c r="S139" s="39"/>
      <c r="T139" s="40"/>
    </row>
    <row r="140" ht="13.5" spans="3:20">
      <c r="C140" s="27">
        <v>0.791666666666667</v>
      </c>
      <c r="D140" s="27">
        <v>0.8125</v>
      </c>
      <c r="E140" s="28" t="s">
        <v>383</v>
      </c>
      <c r="F140" s="29"/>
      <c r="H140" s="32" t="s">
        <v>381</v>
      </c>
      <c r="I140" s="49"/>
      <c r="J140" s="50"/>
      <c r="K140" s="50"/>
      <c r="L140" s="50"/>
      <c r="M140" s="50"/>
      <c r="N140" s="58"/>
      <c r="O140" s="32" t="s">
        <v>381</v>
      </c>
      <c r="P140" s="49"/>
      <c r="Q140" s="50"/>
      <c r="R140" s="50"/>
      <c r="S140" s="50"/>
      <c r="T140" s="58"/>
    </row>
    <row r="141" ht="13.5" spans="3:20">
      <c r="C141" s="27">
        <v>0.8125</v>
      </c>
      <c r="D141" s="27">
        <v>0.833333333333333</v>
      </c>
      <c r="E141" s="28" t="s">
        <v>383</v>
      </c>
      <c r="F141" s="29"/>
      <c r="H141" s="33"/>
      <c r="I141" s="53"/>
      <c r="J141" s="54"/>
      <c r="K141" s="54"/>
      <c r="L141" s="54"/>
      <c r="M141" s="54"/>
      <c r="N141" s="59"/>
      <c r="O141" s="33"/>
      <c r="P141" s="53"/>
      <c r="Q141" s="54"/>
      <c r="R141" s="54"/>
      <c r="S141" s="54"/>
      <c r="T141" s="59"/>
    </row>
    <row r="142" ht="13.5" spans="3:20">
      <c r="C142" s="27">
        <v>0.833333333333333</v>
      </c>
      <c r="D142" s="27">
        <v>0.875</v>
      </c>
      <c r="E142" s="28" t="s">
        <v>383</v>
      </c>
      <c r="F142" s="29"/>
      <c r="H142" s="32" t="s">
        <v>384</v>
      </c>
      <c r="I142" s="49"/>
      <c r="J142" s="50"/>
      <c r="K142" s="50"/>
      <c r="L142" s="50"/>
      <c r="M142" s="50"/>
      <c r="N142" s="58"/>
      <c r="O142" s="32" t="s">
        <v>384</v>
      </c>
      <c r="P142" s="49"/>
      <c r="Q142" s="50"/>
      <c r="R142" s="50"/>
      <c r="S142" s="50"/>
      <c r="T142" s="58"/>
    </row>
    <row r="143" ht="13.5" spans="3:20">
      <c r="C143" s="27">
        <v>0.875</v>
      </c>
      <c r="D143" s="27">
        <v>0.916666666666667</v>
      </c>
      <c r="E143" s="28" t="s">
        <v>383</v>
      </c>
      <c r="F143" s="29"/>
      <c r="H143" s="33"/>
      <c r="I143" s="53"/>
      <c r="J143" s="54"/>
      <c r="K143" s="54"/>
      <c r="L143" s="54"/>
      <c r="M143" s="54"/>
      <c r="N143" s="59"/>
      <c r="O143" s="33"/>
      <c r="P143" s="53"/>
      <c r="Q143" s="54"/>
      <c r="R143" s="54"/>
      <c r="S143" s="54"/>
      <c r="T143" s="59"/>
    </row>
    <row r="144" ht="13.5" spans="3:20">
      <c r="C144" s="27">
        <v>0.916666666666667</v>
      </c>
      <c r="D144" s="27">
        <v>0.958333333333333</v>
      </c>
      <c r="E144" s="28" t="s">
        <v>383</v>
      </c>
      <c r="F144" s="29"/>
      <c r="H144" s="32" t="s">
        <v>386</v>
      </c>
      <c r="I144" s="49"/>
      <c r="J144" s="50"/>
      <c r="K144" s="50"/>
      <c r="L144" s="50"/>
      <c r="M144" s="50"/>
      <c r="N144" s="58"/>
      <c r="O144" s="32" t="s">
        <v>386</v>
      </c>
      <c r="P144" s="49"/>
      <c r="Q144" s="50"/>
      <c r="R144" s="50"/>
      <c r="S144" s="50"/>
      <c r="T144" s="58"/>
    </row>
    <row r="145" ht="13.5" spans="3:20">
      <c r="C145" s="27">
        <v>0.958333333333333</v>
      </c>
      <c r="D145" s="27">
        <v>0</v>
      </c>
      <c r="E145" s="28" t="s">
        <v>383</v>
      </c>
      <c r="F145" s="29"/>
      <c r="H145" s="33"/>
      <c r="I145" s="53"/>
      <c r="J145" s="54"/>
      <c r="K145" s="54"/>
      <c r="L145" s="54"/>
      <c r="M145" s="54"/>
      <c r="N145" s="59"/>
      <c r="O145" s="33"/>
      <c r="P145" s="53"/>
      <c r="Q145" s="54"/>
      <c r="R145" s="54"/>
      <c r="S145" s="54"/>
      <c r="T145" s="59"/>
    </row>
  </sheetData>
  <mergeCells count="360">
    <mergeCell ref="C2:T2"/>
    <mergeCell ref="C3:F3"/>
    <mergeCell ref="E4:F4"/>
    <mergeCell ref="E5:F5"/>
    <mergeCell ref="H5:N5"/>
    <mergeCell ref="O5:R5"/>
    <mergeCell ref="S5:T5"/>
    <mergeCell ref="E6:F6"/>
    <mergeCell ref="O6:T6"/>
    <mergeCell ref="E7:F7"/>
    <mergeCell ref="E8:F8"/>
    <mergeCell ref="E9:F9"/>
    <mergeCell ref="E10:F10"/>
    <mergeCell ref="E11:F11"/>
    <mergeCell ref="E12:F12"/>
    <mergeCell ref="E13:F13"/>
    <mergeCell ref="E14:F14"/>
    <mergeCell ref="E15:F15"/>
    <mergeCell ref="E16:F16"/>
    <mergeCell ref="E17:F17"/>
    <mergeCell ref="E18:F18"/>
    <mergeCell ref="E19:F19"/>
    <mergeCell ref="H19:N19"/>
    <mergeCell ref="O19:T19"/>
    <mergeCell ref="E20:F20"/>
    <mergeCell ref="E21:F21"/>
    <mergeCell ref="E22:F22"/>
    <mergeCell ref="E23:F23"/>
    <mergeCell ref="E24:F24"/>
    <mergeCell ref="E25:F25"/>
    <mergeCell ref="C26:T26"/>
    <mergeCell ref="C27:F27"/>
    <mergeCell ref="E28:F28"/>
    <mergeCell ref="E29:F29"/>
    <mergeCell ref="H29:N29"/>
    <mergeCell ref="O29:R29"/>
    <mergeCell ref="S29:T29"/>
    <mergeCell ref="E30:F30"/>
    <mergeCell ref="O30:T30"/>
    <mergeCell ref="E31:F31"/>
    <mergeCell ref="E32:F32"/>
    <mergeCell ref="E33:F33"/>
    <mergeCell ref="E34:F34"/>
    <mergeCell ref="E35:F35"/>
    <mergeCell ref="E36:F36"/>
    <mergeCell ref="E37:F37"/>
    <mergeCell ref="E38:F38"/>
    <mergeCell ref="E39:F39"/>
    <mergeCell ref="E40:F40"/>
    <mergeCell ref="E41:F41"/>
    <mergeCell ref="E42:F42"/>
    <mergeCell ref="E43:F43"/>
    <mergeCell ref="H43:N43"/>
    <mergeCell ref="O43:T43"/>
    <mergeCell ref="E44:F44"/>
    <mergeCell ref="E45:F45"/>
    <mergeCell ref="E46:F46"/>
    <mergeCell ref="E47:F47"/>
    <mergeCell ref="E48:F48"/>
    <mergeCell ref="E49:F49"/>
    <mergeCell ref="C50:T50"/>
    <mergeCell ref="C51:F51"/>
    <mergeCell ref="E52:F52"/>
    <mergeCell ref="E53:F53"/>
    <mergeCell ref="H53:N53"/>
    <mergeCell ref="O53:R53"/>
    <mergeCell ref="S53:T53"/>
    <mergeCell ref="E54:F54"/>
    <mergeCell ref="O54:T54"/>
    <mergeCell ref="E55:F55"/>
    <mergeCell ref="E56:F56"/>
    <mergeCell ref="E57:F57"/>
    <mergeCell ref="E58:F58"/>
    <mergeCell ref="E59:F59"/>
    <mergeCell ref="E60:F60"/>
    <mergeCell ref="E61:F61"/>
    <mergeCell ref="E62:F62"/>
    <mergeCell ref="E63:F63"/>
    <mergeCell ref="E64:F64"/>
    <mergeCell ref="E65:F65"/>
    <mergeCell ref="E66:F66"/>
    <mergeCell ref="E67:F67"/>
    <mergeCell ref="H67:N67"/>
    <mergeCell ref="O67:T67"/>
    <mergeCell ref="E68:F68"/>
    <mergeCell ref="E69:F69"/>
    <mergeCell ref="E70:F70"/>
    <mergeCell ref="E71:F71"/>
    <mergeCell ref="E72:F72"/>
    <mergeCell ref="E73:F73"/>
    <mergeCell ref="C74:T74"/>
    <mergeCell ref="C75:F75"/>
    <mergeCell ref="E76:F76"/>
    <mergeCell ref="E77:F77"/>
    <mergeCell ref="H77:N77"/>
    <mergeCell ref="O77:R77"/>
    <mergeCell ref="S77:T77"/>
    <mergeCell ref="E78:F78"/>
    <mergeCell ref="O78:T78"/>
    <mergeCell ref="E79:F79"/>
    <mergeCell ref="E80:F80"/>
    <mergeCell ref="E81:F81"/>
    <mergeCell ref="E82:F82"/>
    <mergeCell ref="E83:F83"/>
    <mergeCell ref="E84:F84"/>
    <mergeCell ref="E85:F85"/>
    <mergeCell ref="E86:F86"/>
    <mergeCell ref="E87:F87"/>
    <mergeCell ref="E88:F88"/>
    <mergeCell ref="E89:F89"/>
    <mergeCell ref="E90:F90"/>
    <mergeCell ref="E91:F91"/>
    <mergeCell ref="H91:N91"/>
    <mergeCell ref="O91:T91"/>
    <mergeCell ref="E92:F92"/>
    <mergeCell ref="E93:F93"/>
    <mergeCell ref="E94:F94"/>
    <mergeCell ref="E95:F95"/>
    <mergeCell ref="E96:F96"/>
    <mergeCell ref="E97:F97"/>
    <mergeCell ref="C98:T98"/>
    <mergeCell ref="C99:F99"/>
    <mergeCell ref="E100:F100"/>
    <mergeCell ref="E101:F101"/>
    <mergeCell ref="H101:N101"/>
    <mergeCell ref="O101:R101"/>
    <mergeCell ref="S101:T101"/>
    <mergeCell ref="E102:F102"/>
    <mergeCell ref="O102:T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H115:N115"/>
    <mergeCell ref="O115:T115"/>
    <mergeCell ref="E116:F116"/>
    <mergeCell ref="E117:F117"/>
    <mergeCell ref="E118:F118"/>
    <mergeCell ref="E119:F119"/>
    <mergeCell ref="E120:F120"/>
    <mergeCell ref="E121:F121"/>
    <mergeCell ref="C122:T122"/>
    <mergeCell ref="C123:F123"/>
    <mergeCell ref="E124:F124"/>
    <mergeCell ref="E125:F125"/>
    <mergeCell ref="H125:N125"/>
    <mergeCell ref="O125:R125"/>
    <mergeCell ref="S125:T125"/>
    <mergeCell ref="E126:F126"/>
    <mergeCell ref="O126:T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H139:N139"/>
    <mergeCell ref="O139:T139"/>
    <mergeCell ref="E140:F140"/>
    <mergeCell ref="E141:F141"/>
    <mergeCell ref="E142:F142"/>
    <mergeCell ref="E143:F143"/>
    <mergeCell ref="E144:F144"/>
    <mergeCell ref="E145:F145"/>
    <mergeCell ref="H6:H7"/>
    <mergeCell ref="H8:H9"/>
    <mergeCell ref="H10:H11"/>
    <mergeCell ref="H12:H13"/>
    <mergeCell ref="H14:H15"/>
    <mergeCell ref="H20:H21"/>
    <mergeCell ref="H22:H23"/>
    <mergeCell ref="H24:H25"/>
    <mergeCell ref="H30:H31"/>
    <mergeCell ref="H32:H33"/>
    <mergeCell ref="H34:H35"/>
    <mergeCell ref="H36:H37"/>
    <mergeCell ref="H38:H39"/>
    <mergeCell ref="H44:H45"/>
    <mergeCell ref="H46:H47"/>
    <mergeCell ref="H48:H49"/>
    <mergeCell ref="H54:H55"/>
    <mergeCell ref="H56:H57"/>
    <mergeCell ref="H58:H59"/>
    <mergeCell ref="H60:H61"/>
    <mergeCell ref="H62:H63"/>
    <mergeCell ref="H68:H69"/>
    <mergeCell ref="H70:H71"/>
    <mergeCell ref="H72:H73"/>
    <mergeCell ref="H78:H79"/>
    <mergeCell ref="H80:H81"/>
    <mergeCell ref="H82:H83"/>
    <mergeCell ref="H84:H85"/>
    <mergeCell ref="H86:H87"/>
    <mergeCell ref="H92:H93"/>
    <mergeCell ref="H94:H95"/>
    <mergeCell ref="H96:H97"/>
    <mergeCell ref="H102:H103"/>
    <mergeCell ref="H104:H105"/>
    <mergeCell ref="H106:H107"/>
    <mergeCell ref="H108:H109"/>
    <mergeCell ref="H110:H111"/>
    <mergeCell ref="H116:H117"/>
    <mergeCell ref="H118:H119"/>
    <mergeCell ref="H120:H121"/>
    <mergeCell ref="H126:H127"/>
    <mergeCell ref="H128:H129"/>
    <mergeCell ref="H130:H131"/>
    <mergeCell ref="H132:H133"/>
    <mergeCell ref="H134:H135"/>
    <mergeCell ref="H140:H141"/>
    <mergeCell ref="H142:H143"/>
    <mergeCell ref="H144:H145"/>
    <mergeCell ref="I6:I7"/>
    <mergeCell ref="I8:I9"/>
    <mergeCell ref="I10:I11"/>
    <mergeCell ref="I12:I13"/>
    <mergeCell ref="I14:I15"/>
    <mergeCell ref="I30:I31"/>
    <mergeCell ref="I32:I33"/>
    <mergeCell ref="I34:I35"/>
    <mergeCell ref="I36:I37"/>
    <mergeCell ref="I38:I39"/>
    <mergeCell ref="I54:I55"/>
    <mergeCell ref="I56:I57"/>
    <mergeCell ref="I58:I59"/>
    <mergeCell ref="I60:I61"/>
    <mergeCell ref="I62:I63"/>
    <mergeCell ref="I78:I79"/>
    <mergeCell ref="I80:I81"/>
    <mergeCell ref="I82:I83"/>
    <mergeCell ref="I84:I85"/>
    <mergeCell ref="I86:I87"/>
    <mergeCell ref="I102:I103"/>
    <mergeCell ref="I104:I105"/>
    <mergeCell ref="I106:I107"/>
    <mergeCell ref="I108:I109"/>
    <mergeCell ref="I110:I111"/>
    <mergeCell ref="I126:I127"/>
    <mergeCell ref="I128:I129"/>
    <mergeCell ref="I130:I131"/>
    <mergeCell ref="I132:I133"/>
    <mergeCell ref="I134:I135"/>
    <mergeCell ref="O20:O21"/>
    <mergeCell ref="O22:O23"/>
    <mergeCell ref="O24:O25"/>
    <mergeCell ref="O44:O45"/>
    <mergeCell ref="O46:O47"/>
    <mergeCell ref="O48:O49"/>
    <mergeCell ref="O68:O69"/>
    <mergeCell ref="O70:O71"/>
    <mergeCell ref="O72:O73"/>
    <mergeCell ref="O92:O93"/>
    <mergeCell ref="O94:O95"/>
    <mergeCell ref="O96:O97"/>
    <mergeCell ref="O116:O117"/>
    <mergeCell ref="O118:O119"/>
    <mergeCell ref="O120:O121"/>
    <mergeCell ref="O140:O141"/>
    <mergeCell ref="O142:O143"/>
    <mergeCell ref="O144:O145"/>
    <mergeCell ref="I142:N143"/>
    <mergeCell ref="P142:T143"/>
    <mergeCell ref="I144:N145"/>
    <mergeCell ref="P144:T145"/>
    <mergeCell ref="H136:T138"/>
    <mergeCell ref="I140:N141"/>
    <mergeCell ref="P140:T141"/>
    <mergeCell ref="J132:N133"/>
    <mergeCell ref="J134:N135"/>
    <mergeCell ref="H123:T124"/>
    <mergeCell ref="J126:N127"/>
    <mergeCell ref="O127:T135"/>
    <mergeCell ref="J128:N129"/>
    <mergeCell ref="J130:N131"/>
    <mergeCell ref="I118:N119"/>
    <mergeCell ref="P118:T119"/>
    <mergeCell ref="I120:N121"/>
    <mergeCell ref="P120:T121"/>
    <mergeCell ref="H112:T114"/>
    <mergeCell ref="I116:N117"/>
    <mergeCell ref="P116:T117"/>
    <mergeCell ref="J108:N109"/>
    <mergeCell ref="J110:N111"/>
    <mergeCell ref="H99:T100"/>
    <mergeCell ref="J102:N103"/>
    <mergeCell ref="O103:T111"/>
    <mergeCell ref="J104:N105"/>
    <mergeCell ref="J106:N107"/>
    <mergeCell ref="I94:N95"/>
    <mergeCell ref="P94:T95"/>
    <mergeCell ref="I96:N97"/>
    <mergeCell ref="P96:T97"/>
    <mergeCell ref="H88:T90"/>
    <mergeCell ref="I92:N93"/>
    <mergeCell ref="P92:T93"/>
    <mergeCell ref="J84:N85"/>
    <mergeCell ref="J86:N87"/>
    <mergeCell ref="H75:T76"/>
    <mergeCell ref="J78:N79"/>
    <mergeCell ref="O79:T87"/>
    <mergeCell ref="J80:N81"/>
    <mergeCell ref="J82:N83"/>
    <mergeCell ref="I24:N25"/>
    <mergeCell ref="P24:T25"/>
    <mergeCell ref="I22:N23"/>
    <mergeCell ref="P22:T23"/>
    <mergeCell ref="I20:N21"/>
    <mergeCell ref="P20:T21"/>
    <mergeCell ref="H16:T18"/>
    <mergeCell ref="H3:T4"/>
    <mergeCell ref="J8:N9"/>
    <mergeCell ref="J6:N7"/>
    <mergeCell ref="H64:T66"/>
    <mergeCell ref="O7:T15"/>
    <mergeCell ref="J10:N11"/>
    <mergeCell ref="J12:N13"/>
    <mergeCell ref="J14:N15"/>
    <mergeCell ref="I46:N47"/>
    <mergeCell ref="P46:T47"/>
    <mergeCell ref="I44:N45"/>
    <mergeCell ref="P44:T45"/>
    <mergeCell ref="H27:T28"/>
    <mergeCell ref="J30:N31"/>
    <mergeCell ref="O31:T39"/>
    <mergeCell ref="J32:N33"/>
    <mergeCell ref="H40:T42"/>
    <mergeCell ref="J62:N63"/>
    <mergeCell ref="J34:N35"/>
    <mergeCell ref="J36:N37"/>
    <mergeCell ref="J38:N39"/>
    <mergeCell ref="J60:N61"/>
    <mergeCell ref="I48:N49"/>
    <mergeCell ref="P48:T49"/>
    <mergeCell ref="H51:T52"/>
    <mergeCell ref="J54:N55"/>
    <mergeCell ref="O55:T63"/>
    <mergeCell ref="J56:N57"/>
    <mergeCell ref="J58:N59"/>
    <mergeCell ref="I68:N69"/>
    <mergeCell ref="P68:T69"/>
    <mergeCell ref="I70:N71"/>
    <mergeCell ref="P70:T71"/>
    <mergeCell ref="I72:N73"/>
    <mergeCell ref="P72:T73"/>
  </mergeCells>
  <conditionalFormatting sqref="E19:E23">
    <cfRule type="timePeriod" dxfId="11" priority="5" timePeriod="today">
      <formula>FLOOR(E19,1)=TODAY()</formula>
    </cfRule>
  </conditionalFormatting>
  <conditionalFormatting sqref="E43:E47">
    <cfRule type="timePeriod" dxfId="11" priority="3" timePeriod="today">
      <formula>FLOOR(E43,1)=TODAY()</formula>
    </cfRule>
  </conditionalFormatting>
  <conditionalFormatting sqref="E67:E71">
    <cfRule type="timePeriod" dxfId="11" priority="1" timePeriod="today">
      <formula>FLOOR(E67,1)=TODAY()</formula>
    </cfRule>
  </conditionalFormatting>
  <conditionalFormatting sqref="E76:E97">
    <cfRule type="timePeriod" dxfId="11" priority="9" timePeriod="today">
      <formula>FLOOR(E76,1)=TODAY()</formula>
    </cfRule>
  </conditionalFormatting>
  <conditionalFormatting sqref="E100:E121">
    <cfRule type="timePeriod" dxfId="11" priority="8" timePeriod="today">
      <formula>FLOOR(E100,1)=TODAY()</formula>
    </cfRule>
  </conditionalFormatting>
  <conditionalFormatting sqref="E124:E145">
    <cfRule type="timePeriod" dxfId="11" priority="7" timePeriod="today">
      <formula>FLOOR(E124,1)=TODAY()</formula>
    </cfRule>
  </conditionalFormatting>
  <conditionalFormatting sqref="I6:I15">
    <cfRule type="expression" dxfId="12" priority="12">
      <formula>IF($I6="CONCLUÍDO",1,0)</formula>
    </cfRule>
  </conditionalFormatting>
  <conditionalFormatting sqref="I30:I39">
    <cfRule type="expression" dxfId="12" priority="31">
      <formula>IF($I30="CONCLUÍDO",1,0)</formula>
    </cfRule>
  </conditionalFormatting>
  <conditionalFormatting sqref="I54:I63">
    <cfRule type="expression" dxfId="12" priority="27">
      <formula>IF($I54="CONCLUÍDO",1,0)</formula>
    </cfRule>
  </conditionalFormatting>
  <conditionalFormatting sqref="I78:I87">
    <cfRule type="expression" dxfId="12" priority="23">
      <formula>IF($I78="CONCLUÍDO",1,0)</formula>
    </cfRule>
  </conditionalFormatting>
  <conditionalFormatting sqref="I102:I111">
    <cfRule type="expression" dxfId="12" priority="19">
      <formula>IF($I102="CONCLUÍDO",1,0)</formula>
    </cfRule>
  </conditionalFormatting>
  <conditionalFormatting sqref="I126:I135">
    <cfRule type="expression" dxfId="12" priority="15">
      <formula>IF($I126="CONCLUÍDO",1,0)</formula>
    </cfRule>
  </conditionalFormatting>
  <conditionalFormatting sqref="C98:T98;C122:T122;C2:T2;C26:T26;C50:T50;C74:T74">
    <cfRule type="timePeriod" dxfId="11" priority="95" timePeriod="today">
      <formula>FLOOR(C2,1)=TODAY()</formula>
    </cfRule>
  </conditionalFormatting>
  <conditionalFormatting sqref="E4:E18;E24:E25">
    <cfRule type="timePeriod" dxfId="11" priority="94" timePeriod="today">
      <formula>FLOOR(E4,1)=TODAY()</formula>
    </cfRule>
  </conditionalFormatting>
  <conditionalFormatting sqref="I6:N15">
    <cfRule type="expression" dxfId="13" priority="14">
      <formula>IF($I6="PENDENTE",1,0)</formula>
    </cfRule>
  </conditionalFormatting>
  <conditionalFormatting sqref="J6:N15">
    <cfRule type="expression" dxfId="8" priority="13">
      <formula>IF($I6="CONCLUÍDO",1,0)</formula>
    </cfRule>
  </conditionalFormatting>
  <conditionalFormatting sqref="E28:E42;E48:E49">
    <cfRule type="timePeriod" dxfId="11" priority="4" timePeriod="today">
      <formula>FLOOR(E28,1)=TODAY()</formula>
    </cfRule>
  </conditionalFormatting>
  <conditionalFormatting sqref="I30:N39">
    <cfRule type="expression" dxfId="13" priority="33">
      <formula>IF($I30="PENDENTE",1,0)</formula>
    </cfRule>
  </conditionalFormatting>
  <conditionalFormatting sqref="J30:N39">
    <cfRule type="expression" dxfId="8" priority="32">
      <formula>IF($I30="CONCLUÍDO",1,0)</formula>
    </cfRule>
  </conditionalFormatting>
  <conditionalFormatting sqref="E52:E66;E72:E73">
    <cfRule type="timePeriod" dxfId="11" priority="2" timePeriod="today">
      <formula>FLOOR(E52,1)=TODAY()</formula>
    </cfRule>
  </conditionalFormatting>
  <conditionalFormatting sqref="I54:N63">
    <cfRule type="expression" dxfId="13" priority="29">
      <formula>IF($I54="PENDENTE",1,0)</formula>
    </cfRule>
  </conditionalFormatting>
  <conditionalFormatting sqref="J54:N63">
    <cfRule type="expression" dxfId="8" priority="28">
      <formula>IF($I54="CONCLUÍDO",1,0)</formula>
    </cfRule>
  </conditionalFormatting>
  <conditionalFormatting sqref="I78:N87">
    <cfRule type="expression" dxfId="13" priority="25">
      <formula>IF($I78="PENDENTE",1,0)</formula>
    </cfRule>
  </conditionalFormatting>
  <conditionalFormatting sqref="J78:N87">
    <cfRule type="expression" dxfId="8" priority="24">
      <formula>IF($I78="CONCLUÍDO",1,0)</formula>
    </cfRule>
  </conditionalFormatting>
  <conditionalFormatting sqref="I102:N111">
    <cfRule type="expression" dxfId="13" priority="21">
      <formula>IF($I102="PENDENTE",1,0)</formula>
    </cfRule>
  </conditionalFormatting>
  <conditionalFormatting sqref="J102:N111">
    <cfRule type="expression" dxfId="8" priority="20">
      <formula>IF($I102="CONCLUÍDO",1,0)</formula>
    </cfRule>
  </conditionalFormatting>
  <conditionalFormatting sqref="I126:N135">
    <cfRule type="expression" dxfId="13" priority="17">
      <formula>IF($I126="PENDENTE",1,0)</formula>
    </cfRule>
  </conditionalFormatting>
  <conditionalFormatting sqref="J126:N135">
    <cfRule type="expression" dxfId="8" priority="16">
      <formula>IF($I126="CONCLUÍDO",1,0)</formula>
    </cfRule>
  </conditionalFormatting>
  <dataValidations count="49">
    <dataValidation type="list" allowBlank="1" showInputMessage="1" showErrorMessage="1" sqref="C4 D25 C28 D49 C52 D73 C76 D97 D121 D145">
      <formula1>"23:15,23:30,23:45,00:00"</formula1>
    </dataValidation>
    <dataValidation type="list" allowBlank="1" showInputMessage="1" showErrorMessage="1" sqref="D4 C5 D28 C29 D52 C53 D76 C77 D100 D124">
      <formula1>"04:00,04:15:04:30,04:45,05:00,05:15 h,05:30 h,05:45 h,06:00 h"</formula1>
    </dataValidation>
    <dataValidation type="list" allowBlank="1" showInputMessage="1" showErrorMessage="1" sqref="E4 E11:F11 E28 E35:F35 E52 E59:F59 E6:E10 E12:E18 E24:E25 E30:E34 E36:E42 E48:E49 E54:E58 E60:E66 E72:E73 E76:E97 E100:E121 E124:E145">
      <formula1>'Diário (2)'!N$4:N$18</formula1>
    </dataValidation>
    <dataValidation type="list" showInputMessage="1" showErrorMessage="1" sqref="D5 D29 D53 D77 C101 C125">
      <formula1>"05:15,05:30,06:00,06:15,06:30,06:45"</formula1>
    </dataValidation>
    <dataValidation type="list" allowBlank="1" showInputMessage="1" showErrorMessage="1" sqref="E5:F5 E29:F29 E53:F53 E19:F23 E43:F47 E67:F71">
      <formula1>'Diário (2)'!N$4:N$30</formula1>
    </dataValidation>
    <dataValidation allowBlank="1" showInputMessage="1" showErrorMessage="1" sqref="S5:T5 S29:T29"/>
    <dataValidation type="list" showInputMessage="1" showErrorMessage="1" sqref="C6 C30 C54 C78">
      <formula1>"05:15,05:30,06:00,06:15,06:30,06:45,07:00"</formula1>
    </dataValidation>
    <dataValidation type="list" allowBlank="1" showInputMessage="1" showErrorMessage="1" sqref="D6 D30 D54 D78 D102 D126">
      <formula1>"07:15,07:30,07:45,08:00"</formula1>
    </dataValidation>
    <dataValidation type="list" showInputMessage="1" showErrorMessage="1" sqref="C7 C31 C55 C79 C103 C127">
      <formula1>"07:30,08:00,08:15,08:30,08:45"</formula1>
    </dataValidation>
    <dataValidation type="list" allowBlank="1" showInputMessage="1" showErrorMessage="1" sqref="D7 D31 D55 D79 D103 D127">
      <formula1>"08:00,08:15,08:30,08:45,09:00"</formula1>
    </dataValidation>
    <dataValidation type="list" showInputMessage="1" showErrorMessage="1" sqref="C8 C32 C56 C80 C104 C128">
      <formula1>"08:00,09:00,09:15,09:30,09:45,,"</formula1>
    </dataValidation>
    <dataValidation type="list" allowBlank="1" showInputMessage="1" showErrorMessage="1" sqref="D8 D32 D56 D80 D104 D128">
      <formula1>"09:00,09:15,09:30,09:45,10:00"</formula1>
    </dataValidation>
    <dataValidation type="list" showInputMessage="1" showErrorMessage="1" sqref="C9 C33 C57 C81 C105 C129">
      <formula1>"09:00,10:00,10:15,10:30,10:45,,"</formula1>
    </dataValidation>
    <dataValidation type="list" allowBlank="1" showInputMessage="1" showErrorMessage="1" sqref="D9 D33 D57 D81 D105 D129">
      <formula1>"10:00,10:15,10:30,10:45,11:00"</formula1>
    </dataValidation>
    <dataValidation type="list" showInputMessage="1" showErrorMessage="1" sqref="C10 C34 C58 C82 C106 C130">
      <formula1>"10:00,11:00,11:15,11:30,11:45,,"</formula1>
    </dataValidation>
    <dataValidation type="list" allowBlank="1" showInputMessage="1" showErrorMessage="1" sqref="D10 D34 D58 D82 D106 D130">
      <formula1>"11:00,11:15,11:30,11:45,12:00"</formula1>
    </dataValidation>
    <dataValidation type="list" showInputMessage="1" showErrorMessage="1" sqref="C11 C35 C59 C83 C107 C131">
      <formula1>"11:00,12:00,12:15,12:30,12:45,,"</formula1>
    </dataValidation>
    <dataValidation type="list" allowBlank="1" showInputMessage="1" showErrorMessage="1" sqref="D11 D35 D59 D83 D107 D131">
      <formula1>"12:00,12:15,12:30,12:45,13:00"</formula1>
    </dataValidation>
    <dataValidation type="list" showInputMessage="1" showErrorMessage="1" sqref="C12 C36 C60 C84">
      <formula1>"12:00,12:15,12:30,13:00,13:15,13:30,13:45,,"</formula1>
    </dataValidation>
    <dataValidation type="list" allowBlank="1" showInputMessage="1" showErrorMessage="1" sqref="D12 C13 D36 C37 D60 C61 D84 C85 D108 D132">
      <formula1>"13:00,13:15,13:30,13:45,14:00"</formula1>
    </dataValidation>
    <dataValidation type="list" allowBlank="1" showInputMessage="1" showErrorMessage="1" sqref="D13 D37 D61 D85">
      <formula1>"13:00,13:15,13:30,13:45,14:00,14:15,14:30,14:45,15:00"</formula1>
    </dataValidation>
    <dataValidation type="list" showInputMessage="1" showErrorMessage="1" sqref="C14 C38 C62 C86 C111 C135">
      <formula1>"14:00,15:00,16:00,16:15,16:30,16:45,,"</formula1>
    </dataValidation>
    <dataValidation type="list" allowBlank="1" showInputMessage="1" showErrorMessage="1" sqref="D14 D38 D62 D86 D111 D135">
      <formula1>"15:00,16:00,16:15,16:30,16:45,17:00"</formula1>
    </dataValidation>
    <dataValidation type="list" showInputMessage="1" showErrorMessage="1" sqref="C15 C39 C63 C87 C112 C136">
      <formula1>"15:00,16:00,16:15,16:30,16:45,,"</formula1>
    </dataValidation>
    <dataValidation type="list" allowBlank="1" showInputMessage="1" showErrorMessage="1" sqref="D15 D39 D63 D87 D112 D136">
      <formula1>"16:00,16:15,16:30,16:45,17:00"</formula1>
    </dataValidation>
    <dataValidation type="list" showInputMessage="1" showErrorMessage="1" sqref="C16 C40 C64 C88 C113 C137">
      <formula1>"16:00,16:15,16:30,16:45,,"</formula1>
    </dataValidation>
    <dataValidation type="list" allowBlank="1" showInputMessage="1" showErrorMessage="1" sqref="D16 D40 D64 D88 D113 D137">
      <formula1>"16:15,16:30,16:45,17:00"</formula1>
    </dataValidation>
    <dataValidation type="list" showInputMessage="1" showErrorMessage="1" sqref="C17 C41 C65 C89 C114 C138">
      <formula1>"17:00,17:15,17:30,17:45,,"</formula1>
    </dataValidation>
    <dataValidation type="list" allowBlank="1" showInputMessage="1" showErrorMessage="1" sqref="D17 D41 D65 D89 D114 D138">
      <formula1>"17:15,17:30,17:45,18:00"</formula1>
    </dataValidation>
    <dataValidation type="list" showInputMessage="1" showErrorMessage="1" sqref="C18 C42 C66 C90 C115 C139">
      <formula1>"18:00,18:15,18:30,18:45,,"</formula1>
    </dataValidation>
    <dataValidation type="list" allowBlank="1" showInputMessage="1" showErrorMessage="1" sqref="D18 D42 D66 D90 D115 D139">
      <formula1>"18:15,18:30,18:45,19:00"</formula1>
    </dataValidation>
    <dataValidation type="list" showInputMessage="1" showErrorMessage="1" sqref="C19 C43 C67 C91 C116 C140">
      <formula1>"18:15,18:30,18:45,19:00,19:15,19:30,19:45,,"</formula1>
    </dataValidation>
    <dataValidation type="list" allowBlank="1" showInputMessage="1" showErrorMessage="1" sqref="D19 D43 D67 D91 D116 D140">
      <formula1>"19:00,19:15,19:30,19:45,20:00"</formula1>
    </dataValidation>
    <dataValidation type="list" showInputMessage="1" showErrorMessage="1" sqref="C20:D20 C44:D44 C68:D68 C92:D92 D117 D141 C117:C118 C141:C142">
      <formula1>"19:00,19:15,19:30,19:45,20:00,20:15,20:30,20:45,,"</formula1>
    </dataValidation>
    <dataValidation type="list" showInputMessage="1" showErrorMessage="1" sqref="C21 C45 C69 C93 D118 C119 D142 C143">
      <formula1>"19:00,19:15,19:30,19:45,20:00,20:15,20:30,20:45,21:00,"</formula1>
    </dataValidation>
    <dataValidation type="list" showInputMessage="1" showErrorMessage="1" sqref="D21 D45 D69 D93">
      <formula1>"19:00,19:15,19:30,19:45,20:00,20:15,20:30,20:45,21:00,21:15,21:30"</formula1>
    </dataValidation>
    <dataValidation type="list" showInputMessage="1" showErrorMessage="1" sqref="C22 C46 C70 C94">
      <formula1>"19:00,19:15,19:30,19:45,20:00,20:15,20:30,20:45,21:00,21:15,21:30,21:45"</formula1>
    </dataValidation>
    <dataValidation type="list" showInputMessage="1" showErrorMessage="1" sqref="C25 C49 C73 C97 C121 C145">
      <formula1>"23:00,23:15,23:30,23:45,,"</formula1>
    </dataValidation>
    <dataValidation type="list" allowBlank="1" showInputMessage="1" showErrorMessage="1" sqref="S53:T53 S77:T77 S101:T101 S125:T125">
      <formula1>#REF!</formula1>
    </dataValidation>
    <dataValidation type="list" showInputMessage="1" showErrorMessage="1" sqref="C100 C124">
      <formula1>"00:00 h,00:15 h,00:30 h,00:45 h,,"</formula1>
    </dataValidation>
    <dataValidation type="list" allowBlank="1" showInputMessage="1" showErrorMessage="1" sqref="D101 D125">
      <formula1>"06:00,06:15,06:30,06:45,07:00"</formula1>
    </dataValidation>
    <dataValidation type="list" showInputMessage="1" showErrorMessage="1" sqref="C102 C126">
      <formula1>"06:30,07:00,07:15,07:30,07:45"</formula1>
    </dataValidation>
    <dataValidation type="list" showInputMessage="1" showErrorMessage="1" sqref="C108 C132">
      <formula1>"12:00,13:00,13:15,13:30,13:45,,"</formula1>
    </dataValidation>
    <dataValidation type="list" showInputMessage="1" showErrorMessage="1" sqref="C109 C133">
      <formula1>"13:00,14:00,14:15,14:30,14:45,,"</formula1>
    </dataValidation>
    <dataValidation type="list" allowBlank="1" showInputMessage="1" showErrorMessage="1" sqref="D109 D133">
      <formula1>"13:30,14:00,14:15,14:30,14:45,15:00"</formula1>
    </dataValidation>
    <dataValidation type="list" showInputMessage="1" showErrorMessage="1" sqref="C110 C134">
      <formula1>"13:30,14:00,15:00,15:15,15:30,15:45,,"</formula1>
    </dataValidation>
    <dataValidation type="list" allowBlank="1" showInputMessage="1" showErrorMessage="1" sqref="D110 D134">
      <formula1>"14:00,15:00,15:15,15:30,15:45,16:00"</formula1>
    </dataValidation>
    <dataValidation type="list" allowBlank="1" showInputMessage="1" showErrorMessage="1" sqref="C120 C144 C23:C24 C47:C48 C71:C72 C95:C96 D22:D24 D46:D48 D70:D72 D94:D96 D119:D120 D143:D144">
      <formula1>"22:00,22:15,22:30,22:45,23:00"</formula1>
    </dataValidation>
    <dataValidation type="list" showInputMessage="1" showErrorMessage="1" sqref="I6:I15 I30:I39 I54:I63 I78:I87 I102:I111 I126:I135">
      <formula1>'Diário (2)'!$M$4:$M$6</formula1>
    </dataValidation>
  </dataValidations>
  <pageMargins left="0.511811024" right="0.511811024" top="0.787401575" bottom="0.787401575" header="0.31496062" footer="0.31496062"/>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A1663"/>
  <sheetViews>
    <sheetView workbookViewId="0">
      <selection activeCell="N22" sqref="N22"/>
    </sheetView>
  </sheetViews>
  <sheetFormatPr defaultColWidth="9" defaultRowHeight="12.75"/>
  <cols>
    <col min="1" max="1" width="9.14285714285714" style="16"/>
    <col min="2" max="2" width="10.4285714285714" style="17" customWidth="1"/>
    <col min="3" max="4" width="22.1428571428571" style="16" customWidth="1"/>
    <col min="5" max="16384" width="9.14285714285714" style="16"/>
  </cols>
  <sheetData>
    <row r="3" ht="13.5" customHeight="1"/>
    <row r="4" ht="13.5" customHeight="1" spans="2:14">
      <c r="B4" s="17" t="s">
        <v>416</v>
      </c>
      <c r="C4" s="16" t="s">
        <v>30</v>
      </c>
      <c r="D4" s="16" t="s">
        <v>417</v>
      </c>
      <c r="E4" s="16" t="s">
        <v>418</v>
      </c>
      <c r="F4" s="16" t="s">
        <v>26</v>
      </c>
      <c r="G4" s="16" t="s">
        <v>419</v>
      </c>
      <c r="L4" s="16">
        <v>1</v>
      </c>
      <c r="M4" s="16" t="s">
        <v>1</v>
      </c>
      <c r="N4" s="19" t="s">
        <v>376</v>
      </c>
    </row>
    <row r="5" spans="2:27">
      <c r="B5" s="17" t="str">
        <f t="shared" ref="B5:B36" si="0">MONTH(C5)&amp;"/"&amp;YEAR(C5)</f>
        <v>10/2023</v>
      </c>
      <c r="C5" s="18">
        <v>45221</v>
      </c>
      <c r="D5" s="18" t="str">
        <f t="shared" ref="D5:D18" si="1">TEXT((C5),"DD/MM/AAAA")&amp;" a "&amp;TEXT((C5+6),"DD/MM/AAAA")</f>
        <v>22/10/2023 a 28/10/2023</v>
      </c>
      <c r="E5" s="16">
        <v>6</v>
      </c>
      <c r="F5" s="16" t="str">
        <f ca="1" t="shared" ref="F5:F36" si="2">INDIRECT("Diário!I"&amp;E5)</f>
        <v>PENDENTE</v>
      </c>
      <c r="G5" s="16" t="str">
        <f ca="1" t="shared" ref="G5:G36" si="3">INDIRECT("'Diário'!J"&amp;E5)</f>
        <v>Organizar trabalho</v>
      </c>
      <c r="L5" s="16">
        <v>2</v>
      </c>
      <c r="M5" s="16" t="s">
        <v>6</v>
      </c>
      <c r="N5" s="19" t="s">
        <v>388</v>
      </c>
      <c r="Y5" s="16">
        <v>1</v>
      </c>
      <c r="Z5" s="16" t="s">
        <v>1</v>
      </c>
      <c r="AA5" s="19" t="s">
        <v>376</v>
      </c>
    </row>
    <row r="6" spans="2:27">
      <c r="B6" s="17" t="str">
        <f t="shared" si="0"/>
        <v>10/2023</v>
      </c>
      <c r="C6" s="18">
        <v>45221</v>
      </c>
      <c r="D6" s="18" t="str">
        <f t="shared" si="1"/>
        <v>22/10/2023 a 28/10/2023</v>
      </c>
      <c r="E6" s="16">
        <f>E5+2</f>
        <v>8</v>
      </c>
      <c r="F6" s="16" t="str">
        <f ca="1" t="shared" si="2"/>
        <v>PENDENTE</v>
      </c>
      <c r="G6" s="16" t="str">
        <f ca="1" t="shared" si="3"/>
        <v>Rever aulas iniciais do MBA e finalizar módulo 1</v>
      </c>
      <c r="L6" s="16">
        <v>3</v>
      </c>
      <c r="N6" s="19" t="s">
        <v>383</v>
      </c>
      <c r="Y6" s="16">
        <v>3</v>
      </c>
      <c r="AA6" s="19" t="s">
        <v>383</v>
      </c>
    </row>
    <row r="7" spans="2:27">
      <c r="B7" s="17" t="str">
        <f t="shared" si="0"/>
        <v>10/2023</v>
      </c>
      <c r="C7" s="18">
        <v>45221</v>
      </c>
      <c r="D7" s="18" t="str">
        <f t="shared" si="1"/>
        <v>22/10/2023 a 28/10/2023</v>
      </c>
      <c r="E7" s="16">
        <f>E6+2</f>
        <v>10</v>
      </c>
      <c r="F7" s="16" t="str">
        <f ca="1" t="shared" si="2"/>
        <v>PENDENTE</v>
      </c>
      <c r="G7" s="16" t="str">
        <f ca="1" t="shared" si="3"/>
        <v>Começar a rotina corretamente</v>
      </c>
      <c r="L7" s="16">
        <v>4</v>
      </c>
      <c r="N7" s="19" t="s">
        <v>400</v>
      </c>
      <c r="Y7" s="16">
        <v>5</v>
      </c>
      <c r="AA7" s="19" t="s">
        <v>420</v>
      </c>
    </row>
    <row r="8" spans="2:27">
      <c r="B8" s="17" t="str">
        <f t="shared" si="0"/>
        <v>10/2023</v>
      </c>
      <c r="C8" s="18">
        <v>45221</v>
      </c>
      <c r="D8" s="18" t="str">
        <f t="shared" si="1"/>
        <v>22/10/2023 a 28/10/2023</v>
      </c>
      <c r="E8" s="16">
        <f>E7+2</f>
        <v>12</v>
      </c>
      <c r="F8" s="16" t="str">
        <f ca="1" t="shared" si="2"/>
        <v>PENDENTE</v>
      </c>
      <c r="G8" s="16" t="str">
        <f ca="1" t="shared" si="3"/>
        <v>Fechar pendências dos estudos das obras e rever comentários</v>
      </c>
      <c r="L8" s="16">
        <v>5</v>
      </c>
      <c r="N8" s="19" t="s">
        <v>420</v>
      </c>
      <c r="AA8" s="19"/>
    </row>
    <row r="9" spans="2:27">
      <c r="B9" s="17" t="str">
        <f t="shared" si="0"/>
        <v>10/2023</v>
      </c>
      <c r="C9" s="18">
        <v>45221</v>
      </c>
      <c r="D9" s="18" t="str">
        <f t="shared" si="1"/>
        <v>22/10/2023 a 28/10/2023</v>
      </c>
      <c r="E9" s="16">
        <f>E8+2</f>
        <v>14</v>
      </c>
      <c r="F9" s="16" t="str">
        <f ca="1" t="shared" si="2"/>
        <v>PENDENTE</v>
      </c>
      <c r="G9" s="16">
        <f ca="1" t="shared" si="3"/>
        <v>0</v>
      </c>
      <c r="L9" s="16">
        <v>6</v>
      </c>
      <c r="N9" s="19" t="s">
        <v>421</v>
      </c>
      <c r="AA9" s="19"/>
    </row>
    <row r="10" spans="2:14">
      <c r="B10" s="17" t="str">
        <f t="shared" si="0"/>
        <v>10/2023</v>
      </c>
      <c r="C10" s="18">
        <f t="shared" ref="C10:C17" si="4">C5+7</f>
        <v>45228</v>
      </c>
      <c r="D10" s="18" t="str">
        <f t="shared" si="1"/>
        <v>29/10/2023 a 04/11/2023</v>
      </c>
      <c r="E10" s="16">
        <f>E5+24</f>
        <v>30</v>
      </c>
      <c r="F10" s="16" t="str">
        <f ca="1" t="shared" si="2"/>
        <v>PENDENTE</v>
      </c>
      <c r="G10" s="16" t="str">
        <f ca="1" t="shared" si="3"/>
        <v>Não organizei</v>
      </c>
      <c r="L10" s="16">
        <v>7</v>
      </c>
      <c r="N10" s="19" t="s">
        <v>391</v>
      </c>
    </row>
    <row r="11" ht="13.5" customHeight="1" spans="2:14">
      <c r="B11" s="17" t="str">
        <f t="shared" si="0"/>
        <v>10/2023</v>
      </c>
      <c r="C11" s="18">
        <f t="shared" si="4"/>
        <v>45228</v>
      </c>
      <c r="D11" s="18" t="str">
        <f t="shared" si="1"/>
        <v>29/10/2023 a 04/11/2023</v>
      </c>
      <c r="E11" s="16">
        <f>E10+2</f>
        <v>32</v>
      </c>
      <c r="F11" s="16" t="str">
        <f ca="1" t="shared" si="2"/>
        <v>PENDENTE</v>
      </c>
      <c r="G11" s="16" t="str">
        <f ca="1" t="shared" si="3"/>
        <v>Não organizei</v>
      </c>
      <c r="L11" s="16">
        <v>8</v>
      </c>
      <c r="N11" s="19" t="s">
        <v>380</v>
      </c>
    </row>
    <row r="12" ht="13.5" customHeight="1" spans="2:14">
      <c r="B12" s="17" t="str">
        <f t="shared" si="0"/>
        <v>10/2023</v>
      </c>
      <c r="C12" s="18">
        <f t="shared" si="4"/>
        <v>45228</v>
      </c>
      <c r="D12" s="18" t="str">
        <f t="shared" si="1"/>
        <v>29/10/2023 a 04/11/2023</v>
      </c>
      <c r="E12" s="16">
        <f>E11+2</f>
        <v>34</v>
      </c>
      <c r="F12" s="16" t="str">
        <f ca="1" t="shared" si="2"/>
        <v>PENDENTE</v>
      </c>
      <c r="G12" s="16" t="str">
        <f ca="1" t="shared" si="3"/>
        <v>Não organizei</v>
      </c>
      <c r="L12" s="16">
        <v>9</v>
      </c>
      <c r="N12" s="19" t="s">
        <v>422</v>
      </c>
    </row>
    <row r="13" spans="2:14">
      <c r="B13" s="17" t="str">
        <f t="shared" si="0"/>
        <v>10/2023</v>
      </c>
      <c r="C13" s="18">
        <f t="shared" si="4"/>
        <v>45228</v>
      </c>
      <c r="D13" s="18" t="str">
        <f t="shared" si="1"/>
        <v>29/10/2023 a 04/11/2023</v>
      </c>
      <c r="E13" s="16">
        <f>E12+2</f>
        <v>36</v>
      </c>
      <c r="F13" s="16" t="str">
        <f ca="1" t="shared" si="2"/>
        <v>PENDENTE</v>
      </c>
      <c r="G13" s="16" t="str">
        <f ca="1" t="shared" si="3"/>
        <v>Não organizei</v>
      </c>
      <c r="L13" s="16">
        <v>10</v>
      </c>
      <c r="N13" s="19" t="s">
        <v>399</v>
      </c>
    </row>
    <row r="14" spans="2:14">
      <c r="B14" s="17" t="str">
        <f t="shared" si="0"/>
        <v>10/2023</v>
      </c>
      <c r="C14" s="18">
        <f t="shared" si="4"/>
        <v>45228</v>
      </c>
      <c r="D14" s="18" t="str">
        <f t="shared" si="1"/>
        <v>29/10/2023 a 04/11/2023</v>
      </c>
      <c r="E14" s="16">
        <f>E13+2</f>
        <v>38</v>
      </c>
      <c r="F14" s="16" t="str">
        <f ca="1" t="shared" si="2"/>
        <v>PENDENTE</v>
      </c>
      <c r="G14" s="16" t="str">
        <f ca="1" t="shared" si="3"/>
        <v>Não organizei</v>
      </c>
      <c r="N14" s="19" t="s">
        <v>394</v>
      </c>
    </row>
    <row r="15" spans="2:14">
      <c r="B15" s="17" t="str">
        <f t="shared" si="0"/>
        <v>11/2023</v>
      </c>
      <c r="C15" s="18">
        <f t="shared" si="4"/>
        <v>45235</v>
      </c>
      <c r="D15" s="18" t="str">
        <f t="shared" si="1"/>
        <v>05/11/2023 a 11/11/2023</v>
      </c>
      <c r="E15" s="16">
        <f>E10+24</f>
        <v>54</v>
      </c>
      <c r="F15" s="16">
        <f ca="1" t="shared" si="2"/>
        <v>0</v>
      </c>
      <c r="G15" s="16" t="str">
        <f ca="1" t="shared" si="3"/>
        <v>Organizar trabalho</v>
      </c>
      <c r="N15" s="19" t="s">
        <v>423</v>
      </c>
    </row>
    <row r="16" ht="13.5" customHeight="1" spans="2:14">
      <c r="B16" s="17" t="str">
        <f t="shared" si="0"/>
        <v>11/2023</v>
      </c>
      <c r="C16" s="18">
        <f t="shared" si="4"/>
        <v>45235</v>
      </c>
      <c r="D16" s="18" t="str">
        <f t="shared" si="1"/>
        <v>05/11/2023 a 11/11/2023</v>
      </c>
      <c r="E16" s="16">
        <f>E15+2</f>
        <v>56</v>
      </c>
      <c r="F16" s="16">
        <f ca="1" t="shared" si="2"/>
        <v>0</v>
      </c>
      <c r="G16" s="16" t="str">
        <f ca="1" t="shared" si="3"/>
        <v>Manter focado nas metas da semana</v>
      </c>
      <c r="N16" s="16" t="s">
        <v>393</v>
      </c>
    </row>
    <row r="17" spans="2:14">
      <c r="B17" s="17" t="str">
        <f t="shared" si="0"/>
        <v>11/2023</v>
      </c>
      <c r="C17" s="18">
        <f t="shared" si="4"/>
        <v>45235</v>
      </c>
      <c r="D17" s="18" t="str">
        <f t="shared" si="1"/>
        <v>05/11/2023 a 11/11/2023</v>
      </c>
      <c r="E17" s="16">
        <f>E16+2</f>
        <v>58</v>
      </c>
      <c r="F17" s="16">
        <f ca="1" t="shared" si="2"/>
        <v>0</v>
      </c>
      <c r="G17" s="16" t="str">
        <f ca="1" t="shared" si="3"/>
        <v>Realizar curso de ANATEM</v>
      </c>
      <c r="N17" s="16" t="s">
        <v>398</v>
      </c>
    </row>
    <row r="18" ht="13.5" customHeight="1" spans="2:14">
      <c r="B18" s="17" t="str">
        <f t="shared" si="0"/>
        <v>11/2023</v>
      </c>
      <c r="C18" s="18">
        <f t="shared" ref="C18:C81" si="5">C13+7</f>
        <v>45235</v>
      </c>
      <c r="D18" s="18" t="str">
        <f t="shared" si="1"/>
        <v>05/11/2023 a 11/11/2023</v>
      </c>
      <c r="E18" s="16">
        <f>E17+2</f>
        <v>60</v>
      </c>
      <c r="F18" s="16">
        <f ca="1" t="shared" si="2"/>
        <v>0</v>
      </c>
      <c r="G18" s="16" t="str">
        <f ca="1" t="shared" si="3"/>
        <v>Começar estudos da Tangará</v>
      </c>
      <c r="N18" s="16" t="s">
        <v>401</v>
      </c>
    </row>
    <row r="19" spans="2:14">
      <c r="B19" s="17" t="str">
        <f t="shared" si="0"/>
        <v>11/2023</v>
      </c>
      <c r="C19" s="18">
        <f t="shared" si="5"/>
        <v>45235</v>
      </c>
      <c r="D19" s="18" t="str">
        <f t="shared" ref="D19:D82" si="6">TEXT((C19),"DD/MM/AAAA")&amp;" a "&amp;TEXT((C19+6),"DD/MM/AAAA")</f>
        <v>05/11/2023 a 11/11/2023</v>
      </c>
      <c r="E19" s="16">
        <f>E18+2</f>
        <v>62</v>
      </c>
      <c r="F19" s="16">
        <f ca="1" t="shared" si="2"/>
        <v>0</v>
      </c>
      <c r="G19" s="16" t="str">
        <f ca="1" t="shared" si="3"/>
        <v>Organizar finanças</v>
      </c>
      <c r="N19" s="16" t="s">
        <v>377</v>
      </c>
    </row>
    <row r="20" ht="13.5" customHeight="1" spans="2:14">
      <c r="B20" s="17" t="str">
        <f t="shared" si="0"/>
        <v>11/2023</v>
      </c>
      <c r="C20" s="18">
        <f t="shared" si="5"/>
        <v>45242</v>
      </c>
      <c r="D20" s="18" t="str">
        <f t="shared" si="6"/>
        <v>12/11/2023 a 18/11/2023</v>
      </c>
      <c r="E20" s="16">
        <f>E15+24</f>
        <v>78</v>
      </c>
      <c r="F20" s="16">
        <f ca="1" t="shared" si="2"/>
        <v>0</v>
      </c>
      <c r="G20" s="16">
        <f ca="1" t="shared" si="3"/>
        <v>0</v>
      </c>
      <c r="N20" s="16" t="s">
        <v>404</v>
      </c>
    </row>
    <row r="21" spans="2:14">
      <c r="B21" s="17" t="str">
        <f t="shared" si="0"/>
        <v>11/2023</v>
      </c>
      <c r="C21" s="18">
        <f t="shared" si="5"/>
        <v>45242</v>
      </c>
      <c r="D21" s="18" t="str">
        <f t="shared" si="6"/>
        <v>12/11/2023 a 18/11/2023</v>
      </c>
      <c r="E21" s="16">
        <f>E20+2</f>
        <v>80</v>
      </c>
      <c r="F21" s="16">
        <f ca="1" t="shared" si="2"/>
        <v>0</v>
      </c>
      <c r="G21" s="16">
        <f ca="1" t="shared" si="3"/>
        <v>0</v>
      </c>
      <c r="N21" s="16" t="s">
        <v>397</v>
      </c>
    </row>
    <row r="22" ht="13.5" customHeight="1" spans="2:14">
      <c r="B22" s="17" t="str">
        <f t="shared" si="0"/>
        <v>11/2023</v>
      </c>
      <c r="C22" s="18">
        <f t="shared" si="5"/>
        <v>45242</v>
      </c>
      <c r="D22" s="18" t="str">
        <f t="shared" si="6"/>
        <v>12/11/2023 a 18/11/2023</v>
      </c>
      <c r="E22" s="16">
        <f>E21+2</f>
        <v>82</v>
      </c>
      <c r="F22" s="16">
        <f ca="1" t="shared" si="2"/>
        <v>0</v>
      </c>
      <c r="G22" s="16">
        <f ca="1" t="shared" si="3"/>
        <v>0</v>
      </c>
      <c r="N22" s="16" t="s">
        <v>424</v>
      </c>
    </row>
    <row r="23" spans="2:7">
      <c r="B23" s="17" t="str">
        <f t="shared" si="0"/>
        <v>11/2023</v>
      </c>
      <c r="C23" s="18">
        <f t="shared" si="5"/>
        <v>45242</v>
      </c>
      <c r="D23" s="18" t="str">
        <f t="shared" si="6"/>
        <v>12/11/2023 a 18/11/2023</v>
      </c>
      <c r="E23" s="16">
        <f>E22+2</f>
        <v>84</v>
      </c>
      <c r="F23" s="16">
        <f ca="1" t="shared" si="2"/>
        <v>0</v>
      </c>
      <c r="G23" s="16">
        <f ca="1" t="shared" si="3"/>
        <v>0</v>
      </c>
    </row>
    <row r="24" spans="2:7">
      <c r="B24" s="17" t="str">
        <f t="shared" si="0"/>
        <v>11/2023</v>
      </c>
      <c r="C24" s="18">
        <f t="shared" si="5"/>
        <v>45242</v>
      </c>
      <c r="D24" s="18" t="str">
        <f t="shared" si="6"/>
        <v>12/11/2023 a 18/11/2023</v>
      </c>
      <c r="E24" s="16">
        <f>E23+2</f>
        <v>86</v>
      </c>
      <c r="F24" s="16">
        <f ca="1" t="shared" si="2"/>
        <v>0</v>
      </c>
      <c r="G24" s="16">
        <f ca="1" t="shared" si="3"/>
        <v>0</v>
      </c>
    </row>
    <row r="25" spans="2:7">
      <c r="B25" s="17" t="str">
        <f t="shared" si="0"/>
        <v>11/2023</v>
      </c>
      <c r="C25" s="18">
        <f t="shared" si="5"/>
        <v>45249</v>
      </c>
      <c r="D25" s="18" t="str">
        <f t="shared" si="6"/>
        <v>19/11/2023 a 25/11/2023</v>
      </c>
      <c r="E25" s="16">
        <f>E20+24</f>
        <v>102</v>
      </c>
      <c r="F25" s="16">
        <f ca="1" t="shared" si="2"/>
        <v>0</v>
      </c>
      <c r="G25" s="16">
        <f ca="1" t="shared" si="3"/>
        <v>0</v>
      </c>
    </row>
    <row r="26" spans="2:7">
      <c r="B26" s="17" t="str">
        <f t="shared" si="0"/>
        <v>11/2023</v>
      </c>
      <c r="C26" s="18">
        <f t="shared" si="5"/>
        <v>45249</v>
      </c>
      <c r="D26" s="18" t="str">
        <f t="shared" si="6"/>
        <v>19/11/2023 a 25/11/2023</v>
      </c>
      <c r="E26" s="16">
        <f t="shared" ref="E26:E89" si="7">E25+2</f>
        <v>104</v>
      </c>
      <c r="F26" s="16">
        <f ca="1" t="shared" si="2"/>
        <v>0</v>
      </c>
      <c r="G26" s="16">
        <f ca="1" t="shared" si="3"/>
        <v>0</v>
      </c>
    </row>
    <row r="27" ht="13.5" customHeight="1" spans="2:7">
      <c r="B27" s="17" t="str">
        <f t="shared" si="0"/>
        <v>11/2023</v>
      </c>
      <c r="C27" s="18">
        <f t="shared" si="5"/>
        <v>45249</v>
      </c>
      <c r="D27" s="18" t="str">
        <f t="shared" si="6"/>
        <v>19/11/2023 a 25/11/2023</v>
      </c>
      <c r="E27" s="16">
        <f t="shared" si="7"/>
        <v>106</v>
      </c>
      <c r="F27" s="16">
        <f ca="1" t="shared" si="2"/>
        <v>0</v>
      </c>
      <c r="G27" s="16">
        <f ca="1" t="shared" si="3"/>
        <v>0</v>
      </c>
    </row>
    <row r="28" spans="2:7">
      <c r="B28" s="17" t="str">
        <f t="shared" si="0"/>
        <v>11/2023</v>
      </c>
      <c r="C28" s="18">
        <f t="shared" si="5"/>
        <v>45249</v>
      </c>
      <c r="D28" s="18" t="str">
        <f t="shared" si="6"/>
        <v>19/11/2023 a 25/11/2023</v>
      </c>
      <c r="E28" s="16">
        <f t="shared" si="7"/>
        <v>108</v>
      </c>
      <c r="F28" s="16">
        <f ca="1" t="shared" si="2"/>
        <v>0</v>
      </c>
      <c r="G28" s="16">
        <f ca="1" t="shared" si="3"/>
        <v>0</v>
      </c>
    </row>
    <row r="29" ht="13.5" customHeight="1" spans="2:7">
      <c r="B29" s="17" t="str">
        <f t="shared" si="0"/>
        <v>11/2023</v>
      </c>
      <c r="C29" s="18">
        <f t="shared" si="5"/>
        <v>45249</v>
      </c>
      <c r="D29" s="18" t="str">
        <f t="shared" si="6"/>
        <v>19/11/2023 a 25/11/2023</v>
      </c>
      <c r="E29" s="16">
        <f t="shared" si="7"/>
        <v>110</v>
      </c>
      <c r="F29" s="16">
        <f ca="1" t="shared" si="2"/>
        <v>0</v>
      </c>
      <c r="G29" s="16">
        <f ca="1" t="shared" si="3"/>
        <v>0</v>
      </c>
    </row>
    <row r="30" spans="2:7">
      <c r="B30" s="17" t="str">
        <f t="shared" si="0"/>
        <v>11/2023</v>
      </c>
      <c r="C30" s="18">
        <f t="shared" si="5"/>
        <v>45256</v>
      </c>
      <c r="D30" s="18" t="str">
        <f t="shared" si="6"/>
        <v>26/11/2023 a 02/12/2023</v>
      </c>
      <c r="E30" s="16">
        <f>E25+24</f>
        <v>126</v>
      </c>
      <c r="F30" s="16">
        <f ca="1" t="shared" si="2"/>
        <v>0</v>
      </c>
      <c r="G30" s="16">
        <f ca="1" t="shared" si="3"/>
        <v>0</v>
      </c>
    </row>
    <row r="31" ht="13.5" customHeight="1" spans="2:7">
      <c r="B31" s="17" t="str">
        <f t="shared" si="0"/>
        <v>11/2023</v>
      </c>
      <c r="C31" s="18">
        <f t="shared" si="5"/>
        <v>45256</v>
      </c>
      <c r="D31" s="18" t="str">
        <f t="shared" si="6"/>
        <v>26/11/2023 a 02/12/2023</v>
      </c>
      <c r="E31" s="16">
        <f t="shared" si="7"/>
        <v>128</v>
      </c>
      <c r="F31" s="16">
        <f ca="1" t="shared" si="2"/>
        <v>0</v>
      </c>
      <c r="G31" s="16">
        <f ca="1" t="shared" si="3"/>
        <v>0</v>
      </c>
    </row>
    <row r="32" spans="2:7">
      <c r="B32" s="17" t="str">
        <f t="shared" si="0"/>
        <v>11/2023</v>
      </c>
      <c r="C32" s="18">
        <f t="shared" si="5"/>
        <v>45256</v>
      </c>
      <c r="D32" s="18" t="str">
        <f t="shared" si="6"/>
        <v>26/11/2023 a 02/12/2023</v>
      </c>
      <c r="E32" s="16">
        <f t="shared" si="7"/>
        <v>130</v>
      </c>
      <c r="F32" s="16">
        <f ca="1" t="shared" si="2"/>
        <v>0</v>
      </c>
      <c r="G32" s="16">
        <f ca="1" t="shared" si="3"/>
        <v>0</v>
      </c>
    </row>
    <row r="33" spans="2:7">
      <c r="B33" s="17" t="str">
        <f t="shared" si="0"/>
        <v>11/2023</v>
      </c>
      <c r="C33" s="18">
        <f t="shared" si="5"/>
        <v>45256</v>
      </c>
      <c r="D33" s="18" t="str">
        <f t="shared" si="6"/>
        <v>26/11/2023 a 02/12/2023</v>
      </c>
      <c r="E33" s="16">
        <f t="shared" si="7"/>
        <v>132</v>
      </c>
      <c r="F33" s="16">
        <f ca="1" t="shared" si="2"/>
        <v>0</v>
      </c>
      <c r="G33" s="16">
        <f ca="1" t="shared" si="3"/>
        <v>0</v>
      </c>
    </row>
    <row r="34" ht="13.5" customHeight="1" spans="2:7">
      <c r="B34" s="17" t="str">
        <f t="shared" si="0"/>
        <v>11/2023</v>
      </c>
      <c r="C34" s="18">
        <f t="shared" si="5"/>
        <v>45256</v>
      </c>
      <c r="D34" s="18" t="str">
        <f t="shared" si="6"/>
        <v>26/11/2023 a 02/12/2023</v>
      </c>
      <c r="E34" s="16">
        <f t="shared" si="7"/>
        <v>134</v>
      </c>
      <c r="F34" s="16">
        <f ca="1" t="shared" si="2"/>
        <v>0</v>
      </c>
      <c r="G34" s="16">
        <f ca="1" t="shared" si="3"/>
        <v>0</v>
      </c>
    </row>
    <row r="35" ht="13.5" customHeight="1" spans="2:7">
      <c r="B35" s="17" t="str">
        <f t="shared" si="0"/>
        <v>12/2023</v>
      </c>
      <c r="C35" s="18">
        <f t="shared" si="5"/>
        <v>45263</v>
      </c>
      <c r="D35" s="18" t="str">
        <f t="shared" si="6"/>
        <v>03/12/2023 a 09/12/2023</v>
      </c>
      <c r="E35" s="16">
        <f>E30+24</f>
        <v>150</v>
      </c>
      <c r="F35" s="16">
        <f ca="1" t="shared" si="2"/>
        <v>0</v>
      </c>
      <c r="G35" s="16">
        <f ca="1" t="shared" si="3"/>
        <v>0</v>
      </c>
    </row>
    <row r="36" spans="2:7">
      <c r="B36" s="17" t="str">
        <f t="shared" si="0"/>
        <v>12/2023</v>
      </c>
      <c r="C36" s="18">
        <f t="shared" si="5"/>
        <v>45263</v>
      </c>
      <c r="D36" s="18" t="str">
        <f t="shared" si="6"/>
        <v>03/12/2023 a 09/12/2023</v>
      </c>
      <c r="E36" s="16">
        <f t="shared" si="7"/>
        <v>152</v>
      </c>
      <c r="F36" s="16">
        <f ca="1" t="shared" si="2"/>
        <v>0</v>
      </c>
      <c r="G36" s="16">
        <f ca="1" t="shared" si="3"/>
        <v>0</v>
      </c>
    </row>
    <row r="37" ht="13.5" customHeight="1" spans="2:7">
      <c r="B37" s="17" t="str">
        <f t="shared" ref="B37:B56" si="8">MONTH(C37)&amp;"/"&amp;YEAR(C37)</f>
        <v>12/2023</v>
      </c>
      <c r="C37" s="18">
        <f t="shared" si="5"/>
        <v>45263</v>
      </c>
      <c r="D37" s="18" t="str">
        <f t="shared" si="6"/>
        <v>03/12/2023 a 09/12/2023</v>
      </c>
      <c r="E37" s="16">
        <f t="shared" si="7"/>
        <v>154</v>
      </c>
      <c r="F37" s="16">
        <f ca="1" t="shared" ref="F37:F61" si="9">INDIRECT("Diário!I"&amp;E37)</f>
        <v>0</v>
      </c>
      <c r="G37" s="16">
        <f ca="1" t="shared" ref="G37:G56" si="10">INDIRECT("'Diário'!J"&amp;E37)</f>
        <v>0</v>
      </c>
    </row>
    <row r="38" spans="2:7">
      <c r="B38" s="17" t="str">
        <f t="shared" si="8"/>
        <v>12/2023</v>
      </c>
      <c r="C38" s="18">
        <f t="shared" si="5"/>
        <v>45263</v>
      </c>
      <c r="D38" s="18" t="str">
        <f t="shared" si="6"/>
        <v>03/12/2023 a 09/12/2023</v>
      </c>
      <c r="E38" s="16">
        <f t="shared" si="7"/>
        <v>156</v>
      </c>
      <c r="F38" s="16">
        <f ca="1" t="shared" si="9"/>
        <v>0</v>
      </c>
      <c r="G38" s="16">
        <f ca="1" t="shared" si="10"/>
        <v>0</v>
      </c>
    </row>
    <row r="39" ht="13.5" customHeight="1" spans="2:7">
      <c r="B39" s="17" t="str">
        <f t="shared" si="8"/>
        <v>12/2023</v>
      </c>
      <c r="C39" s="18">
        <f t="shared" si="5"/>
        <v>45263</v>
      </c>
      <c r="D39" s="18" t="str">
        <f t="shared" si="6"/>
        <v>03/12/2023 a 09/12/2023</v>
      </c>
      <c r="E39" s="16">
        <f t="shared" si="7"/>
        <v>158</v>
      </c>
      <c r="F39" s="16">
        <f ca="1" t="shared" si="9"/>
        <v>0</v>
      </c>
      <c r="G39" s="16">
        <f ca="1" t="shared" si="10"/>
        <v>0</v>
      </c>
    </row>
    <row r="40" spans="2:7">
      <c r="B40" s="17" t="str">
        <f t="shared" si="8"/>
        <v>12/2023</v>
      </c>
      <c r="C40" s="18">
        <f t="shared" si="5"/>
        <v>45270</v>
      </c>
      <c r="D40" s="18" t="str">
        <f t="shared" si="6"/>
        <v>10/12/2023 a 16/12/2023</v>
      </c>
      <c r="E40" s="16">
        <f>E35+24</f>
        <v>174</v>
      </c>
      <c r="F40" s="16">
        <f ca="1" t="shared" si="9"/>
        <v>0</v>
      </c>
      <c r="G40" s="16">
        <f ca="1" t="shared" si="10"/>
        <v>0</v>
      </c>
    </row>
    <row r="41" ht="13.5" customHeight="1" spans="2:7">
      <c r="B41" s="17" t="str">
        <f t="shared" si="8"/>
        <v>12/2023</v>
      </c>
      <c r="C41" s="18">
        <f t="shared" si="5"/>
        <v>45270</v>
      </c>
      <c r="D41" s="18" t="str">
        <f t="shared" si="6"/>
        <v>10/12/2023 a 16/12/2023</v>
      </c>
      <c r="E41" s="16">
        <f t="shared" si="7"/>
        <v>176</v>
      </c>
      <c r="F41" s="16">
        <f ca="1" t="shared" si="9"/>
        <v>0</v>
      </c>
      <c r="G41" s="16">
        <f ca="1" t="shared" si="10"/>
        <v>0</v>
      </c>
    </row>
    <row r="42" spans="2:7">
      <c r="B42" s="17" t="str">
        <f t="shared" si="8"/>
        <v>12/2023</v>
      </c>
      <c r="C42" s="18">
        <f t="shared" si="5"/>
        <v>45270</v>
      </c>
      <c r="D42" s="18" t="str">
        <f t="shared" si="6"/>
        <v>10/12/2023 a 16/12/2023</v>
      </c>
      <c r="E42" s="16">
        <f t="shared" si="7"/>
        <v>178</v>
      </c>
      <c r="F42" s="16">
        <f ca="1" t="shared" si="9"/>
        <v>0</v>
      </c>
      <c r="G42" s="16">
        <f ca="1" t="shared" si="10"/>
        <v>0</v>
      </c>
    </row>
    <row r="43" ht="13.5" customHeight="1" spans="2:7">
      <c r="B43" s="17" t="str">
        <f t="shared" si="8"/>
        <v>12/2023</v>
      </c>
      <c r="C43" s="18">
        <f t="shared" si="5"/>
        <v>45270</v>
      </c>
      <c r="D43" s="18" t="str">
        <f t="shared" si="6"/>
        <v>10/12/2023 a 16/12/2023</v>
      </c>
      <c r="E43" s="16">
        <f t="shared" si="7"/>
        <v>180</v>
      </c>
      <c r="F43" s="16">
        <f ca="1" t="shared" si="9"/>
        <v>0</v>
      </c>
      <c r="G43" s="16">
        <f ca="1" t="shared" si="10"/>
        <v>0</v>
      </c>
    </row>
    <row r="44" spans="2:7">
      <c r="B44" s="17" t="str">
        <f t="shared" si="8"/>
        <v>12/2023</v>
      </c>
      <c r="C44" s="18">
        <f t="shared" si="5"/>
        <v>45270</v>
      </c>
      <c r="D44" s="18" t="str">
        <f t="shared" si="6"/>
        <v>10/12/2023 a 16/12/2023</v>
      </c>
      <c r="E44" s="16">
        <f t="shared" si="7"/>
        <v>182</v>
      </c>
      <c r="F44" s="16">
        <f ca="1" t="shared" si="9"/>
        <v>0</v>
      </c>
      <c r="G44" s="16">
        <f ca="1" t="shared" si="10"/>
        <v>0</v>
      </c>
    </row>
    <row r="45" spans="2:7">
      <c r="B45" s="17" t="str">
        <f t="shared" si="8"/>
        <v>12/2023</v>
      </c>
      <c r="C45" s="18">
        <f t="shared" si="5"/>
        <v>45277</v>
      </c>
      <c r="D45" s="18" t="str">
        <f t="shared" si="6"/>
        <v>17/12/2023 a 23/12/2023</v>
      </c>
      <c r="E45" s="16">
        <f>E40+24</f>
        <v>198</v>
      </c>
      <c r="F45" s="16">
        <f ca="1" t="shared" si="9"/>
        <v>0</v>
      </c>
      <c r="G45" s="16">
        <f ca="1" t="shared" si="10"/>
        <v>0</v>
      </c>
    </row>
    <row r="46" spans="2:7">
      <c r="B46" s="17" t="str">
        <f t="shared" si="8"/>
        <v>12/2023</v>
      </c>
      <c r="C46" s="18">
        <f t="shared" si="5"/>
        <v>45277</v>
      </c>
      <c r="D46" s="18" t="str">
        <f t="shared" si="6"/>
        <v>17/12/2023 a 23/12/2023</v>
      </c>
      <c r="E46" s="16">
        <f t="shared" si="7"/>
        <v>200</v>
      </c>
      <c r="F46" s="16">
        <f ca="1" t="shared" si="9"/>
        <v>0</v>
      </c>
      <c r="G46" s="16">
        <f ca="1" t="shared" si="10"/>
        <v>0</v>
      </c>
    </row>
    <row r="47" spans="2:7">
      <c r="B47" s="17" t="str">
        <f t="shared" si="8"/>
        <v>12/2023</v>
      </c>
      <c r="C47" s="18">
        <f t="shared" si="5"/>
        <v>45277</v>
      </c>
      <c r="D47" s="18" t="str">
        <f t="shared" si="6"/>
        <v>17/12/2023 a 23/12/2023</v>
      </c>
      <c r="E47" s="16">
        <f t="shared" si="7"/>
        <v>202</v>
      </c>
      <c r="F47" s="16">
        <f ca="1" t="shared" si="9"/>
        <v>0</v>
      </c>
      <c r="G47" s="16">
        <f ca="1" t="shared" si="10"/>
        <v>0</v>
      </c>
    </row>
    <row r="48" spans="2:7">
      <c r="B48" s="17" t="str">
        <f t="shared" si="8"/>
        <v>12/2023</v>
      </c>
      <c r="C48" s="18">
        <f t="shared" si="5"/>
        <v>45277</v>
      </c>
      <c r="D48" s="18" t="str">
        <f t="shared" si="6"/>
        <v>17/12/2023 a 23/12/2023</v>
      </c>
      <c r="E48" s="16">
        <f t="shared" si="7"/>
        <v>204</v>
      </c>
      <c r="F48" s="16">
        <f ca="1" t="shared" si="9"/>
        <v>0</v>
      </c>
      <c r="G48" s="16">
        <f ca="1" t="shared" si="10"/>
        <v>0</v>
      </c>
    </row>
    <row r="49" spans="2:7">
      <c r="B49" s="17" t="str">
        <f t="shared" si="8"/>
        <v>12/2023</v>
      </c>
      <c r="C49" s="18">
        <f t="shared" si="5"/>
        <v>45277</v>
      </c>
      <c r="D49" s="18" t="str">
        <f t="shared" si="6"/>
        <v>17/12/2023 a 23/12/2023</v>
      </c>
      <c r="E49" s="16">
        <f t="shared" si="7"/>
        <v>206</v>
      </c>
      <c r="F49" s="16">
        <f ca="1" t="shared" si="9"/>
        <v>0</v>
      </c>
      <c r="G49" s="16">
        <f ca="1" t="shared" si="10"/>
        <v>0</v>
      </c>
    </row>
    <row r="50" spans="2:7">
      <c r="B50" s="17" t="str">
        <f t="shared" si="8"/>
        <v>12/2023</v>
      </c>
      <c r="C50" s="18">
        <f t="shared" si="5"/>
        <v>45284</v>
      </c>
      <c r="D50" s="18" t="str">
        <f t="shared" si="6"/>
        <v>24/12/2023 a 30/12/2023</v>
      </c>
      <c r="E50" s="16">
        <f>E45+24</f>
        <v>222</v>
      </c>
      <c r="F50" s="16">
        <f ca="1" t="shared" si="9"/>
        <v>0</v>
      </c>
      <c r="G50" s="16">
        <f ca="1" t="shared" si="10"/>
        <v>0</v>
      </c>
    </row>
    <row r="51" spans="2:7">
      <c r="B51" s="17" t="str">
        <f t="shared" si="8"/>
        <v>12/2023</v>
      </c>
      <c r="C51" s="18">
        <f t="shared" si="5"/>
        <v>45284</v>
      </c>
      <c r="D51" s="18" t="str">
        <f t="shared" si="6"/>
        <v>24/12/2023 a 30/12/2023</v>
      </c>
      <c r="E51" s="16">
        <f t="shared" si="7"/>
        <v>224</v>
      </c>
      <c r="F51" s="16">
        <f ca="1" t="shared" si="9"/>
        <v>0</v>
      </c>
      <c r="G51" s="16">
        <f ca="1" t="shared" si="10"/>
        <v>0</v>
      </c>
    </row>
    <row r="52" spans="2:7">
      <c r="B52" s="17" t="str">
        <f t="shared" si="8"/>
        <v>12/2023</v>
      </c>
      <c r="C52" s="18">
        <f t="shared" si="5"/>
        <v>45284</v>
      </c>
      <c r="D52" s="18" t="str">
        <f t="shared" si="6"/>
        <v>24/12/2023 a 30/12/2023</v>
      </c>
      <c r="E52" s="16">
        <f t="shared" si="7"/>
        <v>226</v>
      </c>
      <c r="F52" s="16">
        <f ca="1" t="shared" si="9"/>
        <v>0</v>
      </c>
      <c r="G52" s="16">
        <f ca="1" t="shared" si="10"/>
        <v>0</v>
      </c>
    </row>
    <row r="53" spans="2:7">
      <c r="B53" s="17" t="str">
        <f t="shared" si="8"/>
        <v>12/2023</v>
      </c>
      <c r="C53" s="18">
        <f t="shared" si="5"/>
        <v>45284</v>
      </c>
      <c r="D53" s="18" t="str">
        <f t="shared" si="6"/>
        <v>24/12/2023 a 30/12/2023</v>
      </c>
      <c r="E53" s="16">
        <f t="shared" si="7"/>
        <v>228</v>
      </c>
      <c r="F53" s="16">
        <f ca="1" t="shared" si="9"/>
        <v>0</v>
      </c>
      <c r="G53" s="16">
        <f ca="1" t="shared" si="10"/>
        <v>0</v>
      </c>
    </row>
    <row r="54" spans="2:7">
      <c r="B54" s="17" t="str">
        <f t="shared" si="8"/>
        <v>12/2023</v>
      </c>
      <c r="C54" s="18">
        <f t="shared" si="5"/>
        <v>45284</v>
      </c>
      <c r="D54" s="18" t="str">
        <f t="shared" si="6"/>
        <v>24/12/2023 a 30/12/2023</v>
      </c>
      <c r="E54" s="16">
        <f t="shared" si="7"/>
        <v>230</v>
      </c>
      <c r="F54" s="16">
        <f ca="1" t="shared" si="9"/>
        <v>0</v>
      </c>
      <c r="G54" s="16">
        <f ca="1" t="shared" si="10"/>
        <v>0</v>
      </c>
    </row>
    <row r="55" spans="2:7">
      <c r="B55" s="17" t="str">
        <f t="shared" si="8"/>
        <v>12/2023</v>
      </c>
      <c r="C55" s="18">
        <f t="shared" si="5"/>
        <v>45291</v>
      </c>
      <c r="D55" s="18" t="str">
        <f t="shared" si="6"/>
        <v>31/12/2023 a 06/01/2024</v>
      </c>
      <c r="E55" s="16">
        <f>E50+24</f>
        <v>246</v>
      </c>
      <c r="F55" s="16">
        <f ca="1" t="shared" si="9"/>
        <v>0</v>
      </c>
      <c r="G55" s="16">
        <f ca="1" t="shared" si="10"/>
        <v>0</v>
      </c>
    </row>
    <row r="56" spans="2:7">
      <c r="B56" s="17" t="str">
        <f t="shared" si="8"/>
        <v>12/2023</v>
      </c>
      <c r="C56" s="18">
        <f t="shared" si="5"/>
        <v>45291</v>
      </c>
      <c r="D56" s="18" t="str">
        <f t="shared" si="6"/>
        <v>31/12/2023 a 06/01/2024</v>
      </c>
      <c r="E56" s="16">
        <f t="shared" si="7"/>
        <v>248</v>
      </c>
      <c r="F56" s="16">
        <f ca="1" t="shared" si="9"/>
        <v>0</v>
      </c>
      <c r="G56" s="16">
        <f ca="1" t="shared" si="10"/>
        <v>0</v>
      </c>
    </row>
    <row r="57" ht="13.5" customHeight="1" spans="2:7">
      <c r="B57" s="17" t="str">
        <f t="shared" ref="B57:B120" si="11">MONTH(C57)&amp;"/"&amp;YEAR(C57)</f>
        <v>12/2023</v>
      </c>
      <c r="C57" s="18">
        <f t="shared" si="5"/>
        <v>45291</v>
      </c>
      <c r="D57" s="18" t="str">
        <f t="shared" si="6"/>
        <v>31/12/2023 a 06/01/2024</v>
      </c>
      <c r="E57" s="16">
        <f t="shared" si="7"/>
        <v>250</v>
      </c>
      <c r="F57" s="16">
        <f ca="1" t="shared" si="9"/>
        <v>0</v>
      </c>
      <c r="G57" s="16">
        <f ca="1" t="shared" ref="G57:G120" si="12">INDIRECT("'Diário'!J"&amp;E57)</f>
        <v>0</v>
      </c>
    </row>
    <row r="58" ht="13.5" customHeight="1" spans="2:7">
      <c r="B58" s="17" t="str">
        <f t="shared" si="11"/>
        <v>12/2023</v>
      </c>
      <c r="C58" s="18">
        <f t="shared" si="5"/>
        <v>45291</v>
      </c>
      <c r="D58" s="18" t="str">
        <f t="shared" si="6"/>
        <v>31/12/2023 a 06/01/2024</v>
      </c>
      <c r="E58" s="16">
        <f t="shared" si="7"/>
        <v>252</v>
      </c>
      <c r="F58" s="16">
        <f ca="1" t="shared" si="9"/>
        <v>0</v>
      </c>
      <c r="G58" s="16">
        <f ca="1" t="shared" si="12"/>
        <v>0</v>
      </c>
    </row>
    <row r="59" spans="2:7">
      <c r="B59" s="17" t="str">
        <f t="shared" si="11"/>
        <v>12/2023</v>
      </c>
      <c r="C59" s="18">
        <f t="shared" si="5"/>
        <v>45291</v>
      </c>
      <c r="D59" s="18" t="str">
        <f t="shared" si="6"/>
        <v>31/12/2023 a 06/01/2024</v>
      </c>
      <c r="E59" s="16">
        <f t="shared" si="7"/>
        <v>254</v>
      </c>
      <c r="F59" s="16">
        <f ca="1" t="shared" si="9"/>
        <v>0</v>
      </c>
      <c r="G59" s="16">
        <f ca="1" t="shared" si="12"/>
        <v>0</v>
      </c>
    </row>
    <row r="60" spans="2:7">
      <c r="B60" s="17" t="str">
        <f t="shared" si="11"/>
        <v>1/2024</v>
      </c>
      <c r="C60" s="18">
        <f t="shared" si="5"/>
        <v>45298</v>
      </c>
      <c r="D60" s="18" t="str">
        <f t="shared" si="6"/>
        <v>07/01/2024 a 13/01/2024</v>
      </c>
      <c r="E60" s="16">
        <f>E55+24</f>
        <v>270</v>
      </c>
      <c r="F60" s="16">
        <f ca="1" t="shared" si="9"/>
        <v>0</v>
      </c>
      <c r="G60" s="16">
        <f ca="1" t="shared" si="12"/>
        <v>0</v>
      </c>
    </row>
    <row r="61" spans="2:7">
      <c r="B61" s="17" t="str">
        <f t="shared" si="11"/>
        <v>1/2024</v>
      </c>
      <c r="C61" s="18">
        <f t="shared" si="5"/>
        <v>45298</v>
      </c>
      <c r="D61" s="18" t="str">
        <f t="shared" si="6"/>
        <v>07/01/2024 a 13/01/2024</v>
      </c>
      <c r="E61" s="16">
        <f t="shared" si="7"/>
        <v>272</v>
      </c>
      <c r="F61" s="16">
        <f ca="1" t="shared" si="9"/>
        <v>0</v>
      </c>
      <c r="G61" s="16">
        <f ca="1" t="shared" si="12"/>
        <v>0</v>
      </c>
    </row>
    <row r="62" spans="2:7">
      <c r="B62" s="17" t="str">
        <f t="shared" si="11"/>
        <v>1/2024</v>
      </c>
      <c r="C62" s="18">
        <f t="shared" si="5"/>
        <v>45298</v>
      </c>
      <c r="D62" s="18" t="str">
        <f t="shared" si="6"/>
        <v>07/01/2024 a 13/01/2024</v>
      </c>
      <c r="E62" s="16">
        <f t="shared" si="7"/>
        <v>274</v>
      </c>
      <c r="F62" s="16">
        <f ca="1" t="shared" ref="F62:F125" si="13">INDIRECT("Diário!I"&amp;E62)</f>
        <v>0</v>
      </c>
      <c r="G62" s="16">
        <f ca="1" t="shared" si="12"/>
        <v>0</v>
      </c>
    </row>
    <row r="63" spans="2:7">
      <c r="B63" s="17" t="str">
        <f t="shared" si="11"/>
        <v>1/2024</v>
      </c>
      <c r="C63" s="18">
        <f t="shared" si="5"/>
        <v>45298</v>
      </c>
      <c r="D63" s="18" t="str">
        <f t="shared" si="6"/>
        <v>07/01/2024 a 13/01/2024</v>
      </c>
      <c r="E63" s="16">
        <f t="shared" si="7"/>
        <v>276</v>
      </c>
      <c r="F63" s="16">
        <f ca="1" t="shared" si="13"/>
        <v>0</v>
      </c>
      <c r="G63" s="16">
        <f ca="1" t="shared" si="12"/>
        <v>0</v>
      </c>
    </row>
    <row r="64" spans="2:7">
      <c r="B64" s="17" t="str">
        <f t="shared" si="11"/>
        <v>1/2024</v>
      </c>
      <c r="C64" s="18">
        <f t="shared" si="5"/>
        <v>45298</v>
      </c>
      <c r="D64" s="18" t="str">
        <f t="shared" si="6"/>
        <v>07/01/2024 a 13/01/2024</v>
      </c>
      <c r="E64" s="16">
        <f t="shared" si="7"/>
        <v>278</v>
      </c>
      <c r="F64" s="16">
        <f ca="1" t="shared" si="13"/>
        <v>0</v>
      </c>
      <c r="G64" s="16">
        <f ca="1" t="shared" si="12"/>
        <v>0</v>
      </c>
    </row>
    <row r="65" spans="2:7">
      <c r="B65" s="17" t="str">
        <f t="shared" si="11"/>
        <v>1/2024</v>
      </c>
      <c r="C65" s="18">
        <f t="shared" si="5"/>
        <v>45305</v>
      </c>
      <c r="D65" s="18" t="str">
        <f t="shared" si="6"/>
        <v>14/01/2024 a 20/01/2024</v>
      </c>
      <c r="E65" s="16">
        <f>E60+24</f>
        <v>294</v>
      </c>
      <c r="F65" s="16">
        <f ca="1" t="shared" si="13"/>
        <v>0</v>
      </c>
      <c r="G65" s="16">
        <f ca="1" t="shared" si="12"/>
        <v>0</v>
      </c>
    </row>
    <row r="66" spans="2:7">
      <c r="B66" s="17" t="str">
        <f t="shared" si="11"/>
        <v>1/2024</v>
      </c>
      <c r="C66" s="18">
        <f t="shared" si="5"/>
        <v>45305</v>
      </c>
      <c r="D66" s="18" t="str">
        <f t="shared" si="6"/>
        <v>14/01/2024 a 20/01/2024</v>
      </c>
      <c r="E66" s="16">
        <f t="shared" si="7"/>
        <v>296</v>
      </c>
      <c r="F66" s="16">
        <f ca="1" t="shared" si="13"/>
        <v>0</v>
      </c>
      <c r="G66" s="16">
        <f ca="1" t="shared" si="12"/>
        <v>0</v>
      </c>
    </row>
    <row r="67" spans="2:7">
      <c r="B67" s="17" t="str">
        <f t="shared" si="11"/>
        <v>1/2024</v>
      </c>
      <c r="C67" s="18">
        <f t="shared" si="5"/>
        <v>45305</v>
      </c>
      <c r="D67" s="18" t="str">
        <f t="shared" si="6"/>
        <v>14/01/2024 a 20/01/2024</v>
      </c>
      <c r="E67" s="16">
        <f t="shared" si="7"/>
        <v>298</v>
      </c>
      <c r="F67" s="16">
        <f ca="1" t="shared" si="13"/>
        <v>0</v>
      </c>
      <c r="G67" s="16">
        <f ca="1" t="shared" si="12"/>
        <v>0</v>
      </c>
    </row>
    <row r="68" spans="2:7">
      <c r="B68" s="17" t="str">
        <f t="shared" si="11"/>
        <v>1/2024</v>
      </c>
      <c r="C68" s="18">
        <f t="shared" si="5"/>
        <v>45305</v>
      </c>
      <c r="D68" s="18" t="str">
        <f t="shared" si="6"/>
        <v>14/01/2024 a 20/01/2024</v>
      </c>
      <c r="E68" s="16">
        <f t="shared" si="7"/>
        <v>300</v>
      </c>
      <c r="F68" s="16">
        <f ca="1" t="shared" si="13"/>
        <v>0</v>
      </c>
      <c r="G68" s="16">
        <f ca="1" t="shared" si="12"/>
        <v>0</v>
      </c>
    </row>
    <row r="69" spans="2:7">
      <c r="B69" s="17" t="str">
        <f t="shared" si="11"/>
        <v>1/2024</v>
      </c>
      <c r="C69" s="18">
        <f t="shared" si="5"/>
        <v>45305</v>
      </c>
      <c r="D69" s="18" t="str">
        <f t="shared" si="6"/>
        <v>14/01/2024 a 20/01/2024</v>
      </c>
      <c r="E69" s="16">
        <f t="shared" si="7"/>
        <v>302</v>
      </c>
      <c r="F69" s="16">
        <f ca="1" t="shared" si="13"/>
        <v>0</v>
      </c>
      <c r="G69" s="16">
        <f ca="1" t="shared" si="12"/>
        <v>0</v>
      </c>
    </row>
    <row r="70" spans="2:7">
      <c r="B70" s="17" t="str">
        <f t="shared" si="11"/>
        <v>1/2024</v>
      </c>
      <c r="C70" s="18">
        <f t="shared" si="5"/>
        <v>45312</v>
      </c>
      <c r="D70" s="18" t="str">
        <f t="shared" si="6"/>
        <v>21/01/2024 a 27/01/2024</v>
      </c>
      <c r="E70" s="16">
        <f>E65+24</f>
        <v>318</v>
      </c>
      <c r="F70" s="16">
        <f ca="1" t="shared" si="13"/>
        <v>0</v>
      </c>
      <c r="G70" s="16">
        <f ca="1" t="shared" si="12"/>
        <v>0</v>
      </c>
    </row>
    <row r="71" spans="2:7">
      <c r="B71" s="17" t="str">
        <f t="shared" si="11"/>
        <v>1/2024</v>
      </c>
      <c r="C71" s="18">
        <f t="shared" si="5"/>
        <v>45312</v>
      </c>
      <c r="D71" s="18" t="str">
        <f t="shared" si="6"/>
        <v>21/01/2024 a 27/01/2024</v>
      </c>
      <c r="E71" s="16">
        <f t="shared" si="7"/>
        <v>320</v>
      </c>
      <c r="F71" s="16">
        <f ca="1" t="shared" si="13"/>
        <v>0</v>
      </c>
      <c r="G71" s="16">
        <f ca="1" t="shared" si="12"/>
        <v>0</v>
      </c>
    </row>
    <row r="72" spans="2:7">
      <c r="B72" s="17" t="str">
        <f t="shared" si="11"/>
        <v>1/2024</v>
      </c>
      <c r="C72" s="18">
        <f t="shared" si="5"/>
        <v>45312</v>
      </c>
      <c r="D72" s="18" t="str">
        <f t="shared" si="6"/>
        <v>21/01/2024 a 27/01/2024</v>
      </c>
      <c r="E72" s="16">
        <f t="shared" si="7"/>
        <v>322</v>
      </c>
      <c r="F72" s="16">
        <f ca="1" t="shared" si="13"/>
        <v>0</v>
      </c>
      <c r="G72" s="16">
        <f ca="1" t="shared" si="12"/>
        <v>0</v>
      </c>
    </row>
    <row r="73" spans="2:7">
      <c r="B73" s="17" t="str">
        <f t="shared" si="11"/>
        <v>1/2024</v>
      </c>
      <c r="C73" s="18">
        <f t="shared" si="5"/>
        <v>45312</v>
      </c>
      <c r="D73" s="18" t="str">
        <f t="shared" si="6"/>
        <v>21/01/2024 a 27/01/2024</v>
      </c>
      <c r="E73" s="16">
        <f t="shared" si="7"/>
        <v>324</v>
      </c>
      <c r="F73" s="16">
        <f ca="1" t="shared" si="13"/>
        <v>0</v>
      </c>
      <c r="G73" s="16">
        <f ca="1" t="shared" si="12"/>
        <v>0</v>
      </c>
    </row>
    <row r="74" spans="2:7">
      <c r="B74" s="17" t="str">
        <f t="shared" si="11"/>
        <v>1/2024</v>
      </c>
      <c r="C74" s="18">
        <f t="shared" si="5"/>
        <v>45312</v>
      </c>
      <c r="D74" s="18" t="str">
        <f t="shared" si="6"/>
        <v>21/01/2024 a 27/01/2024</v>
      </c>
      <c r="E74" s="16">
        <f t="shared" si="7"/>
        <v>326</v>
      </c>
      <c r="F74" s="16">
        <f ca="1" t="shared" si="13"/>
        <v>0</v>
      </c>
      <c r="G74" s="16">
        <f ca="1" t="shared" si="12"/>
        <v>0</v>
      </c>
    </row>
    <row r="75" spans="2:7">
      <c r="B75" s="17" t="str">
        <f t="shared" si="11"/>
        <v>1/2024</v>
      </c>
      <c r="C75" s="18">
        <f t="shared" si="5"/>
        <v>45319</v>
      </c>
      <c r="D75" s="18" t="str">
        <f t="shared" si="6"/>
        <v>28/01/2024 a 03/02/2024</v>
      </c>
      <c r="E75" s="16">
        <f>E70+24</f>
        <v>342</v>
      </c>
      <c r="F75" s="16">
        <f ca="1" t="shared" si="13"/>
        <v>0</v>
      </c>
      <c r="G75" s="16">
        <f ca="1" t="shared" si="12"/>
        <v>0</v>
      </c>
    </row>
    <row r="76" spans="2:7">
      <c r="B76" s="17" t="str">
        <f t="shared" si="11"/>
        <v>1/2024</v>
      </c>
      <c r="C76" s="18">
        <f t="shared" si="5"/>
        <v>45319</v>
      </c>
      <c r="D76" s="18" t="str">
        <f t="shared" si="6"/>
        <v>28/01/2024 a 03/02/2024</v>
      </c>
      <c r="E76" s="16">
        <f t="shared" si="7"/>
        <v>344</v>
      </c>
      <c r="F76" s="16">
        <f ca="1" t="shared" si="13"/>
        <v>0</v>
      </c>
      <c r="G76" s="16">
        <f ca="1" t="shared" si="12"/>
        <v>0</v>
      </c>
    </row>
    <row r="77" spans="2:7">
      <c r="B77" s="17" t="str">
        <f t="shared" si="11"/>
        <v>1/2024</v>
      </c>
      <c r="C77" s="18">
        <f t="shared" si="5"/>
        <v>45319</v>
      </c>
      <c r="D77" s="18" t="str">
        <f t="shared" si="6"/>
        <v>28/01/2024 a 03/02/2024</v>
      </c>
      <c r="E77" s="16">
        <f t="shared" si="7"/>
        <v>346</v>
      </c>
      <c r="F77" s="16">
        <f ca="1" t="shared" si="13"/>
        <v>0</v>
      </c>
      <c r="G77" s="16">
        <f ca="1" t="shared" si="12"/>
        <v>0</v>
      </c>
    </row>
    <row r="78" spans="2:7">
      <c r="B78" s="17" t="str">
        <f t="shared" si="11"/>
        <v>1/2024</v>
      </c>
      <c r="C78" s="18">
        <f t="shared" si="5"/>
        <v>45319</v>
      </c>
      <c r="D78" s="18" t="str">
        <f t="shared" si="6"/>
        <v>28/01/2024 a 03/02/2024</v>
      </c>
      <c r="E78" s="16">
        <f t="shared" si="7"/>
        <v>348</v>
      </c>
      <c r="F78" s="16">
        <f ca="1" t="shared" si="13"/>
        <v>0</v>
      </c>
      <c r="G78" s="16">
        <f ca="1" t="shared" si="12"/>
        <v>0</v>
      </c>
    </row>
    <row r="79" spans="2:7">
      <c r="B79" s="17" t="str">
        <f t="shared" si="11"/>
        <v>1/2024</v>
      </c>
      <c r="C79" s="18">
        <f t="shared" si="5"/>
        <v>45319</v>
      </c>
      <c r="D79" s="18" t="str">
        <f t="shared" si="6"/>
        <v>28/01/2024 a 03/02/2024</v>
      </c>
      <c r="E79" s="16">
        <f t="shared" si="7"/>
        <v>350</v>
      </c>
      <c r="F79" s="16">
        <f ca="1" t="shared" si="13"/>
        <v>0</v>
      </c>
      <c r="G79" s="16">
        <f ca="1" t="shared" si="12"/>
        <v>0</v>
      </c>
    </row>
    <row r="80" spans="2:7">
      <c r="B80" s="17" t="str">
        <f t="shared" si="11"/>
        <v>2/2024</v>
      </c>
      <c r="C80" s="18">
        <f t="shared" si="5"/>
        <v>45326</v>
      </c>
      <c r="D80" s="18" t="str">
        <f t="shared" si="6"/>
        <v>04/02/2024 a 10/02/2024</v>
      </c>
      <c r="E80" s="16">
        <f>E75+24</f>
        <v>366</v>
      </c>
      <c r="F80" s="16">
        <f ca="1" t="shared" si="13"/>
        <v>0</v>
      </c>
      <c r="G80" s="16">
        <f ca="1" t="shared" si="12"/>
        <v>0</v>
      </c>
    </row>
    <row r="81" spans="2:7">
      <c r="B81" s="17" t="str">
        <f t="shared" si="11"/>
        <v>2/2024</v>
      </c>
      <c r="C81" s="18">
        <f t="shared" si="5"/>
        <v>45326</v>
      </c>
      <c r="D81" s="18" t="str">
        <f t="shared" si="6"/>
        <v>04/02/2024 a 10/02/2024</v>
      </c>
      <c r="E81" s="16">
        <f t="shared" si="7"/>
        <v>368</v>
      </c>
      <c r="F81" s="16">
        <f ca="1" t="shared" si="13"/>
        <v>0</v>
      </c>
      <c r="G81" s="16">
        <f ca="1" t="shared" si="12"/>
        <v>0</v>
      </c>
    </row>
    <row r="82" spans="2:7">
      <c r="B82" s="17" t="str">
        <f t="shared" si="11"/>
        <v>2/2024</v>
      </c>
      <c r="C82" s="18">
        <f t="shared" ref="C82:C145" si="14">C77+7</f>
        <v>45326</v>
      </c>
      <c r="D82" s="18" t="str">
        <f t="shared" si="6"/>
        <v>04/02/2024 a 10/02/2024</v>
      </c>
      <c r="E82" s="16">
        <f t="shared" si="7"/>
        <v>370</v>
      </c>
      <c r="F82" s="16">
        <f ca="1" t="shared" si="13"/>
        <v>0</v>
      </c>
      <c r="G82" s="16">
        <f ca="1" t="shared" si="12"/>
        <v>0</v>
      </c>
    </row>
    <row r="83" spans="2:7">
      <c r="B83" s="17" t="str">
        <f t="shared" si="11"/>
        <v>2/2024</v>
      </c>
      <c r="C83" s="18">
        <f t="shared" si="14"/>
        <v>45326</v>
      </c>
      <c r="D83" s="18" t="str">
        <f t="shared" ref="D83:D146" si="15">TEXT((C83),"DD/MM/AAAA")&amp;" a "&amp;TEXT((C83+6),"DD/MM/AAAA")</f>
        <v>04/02/2024 a 10/02/2024</v>
      </c>
      <c r="E83" s="16">
        <f t="shared" si="7"/>
        <v>372</v>
      </c>
      <c r="F83" s="16">
        <f ca="1" t="shared" si="13"/>
        <v>0</v>
      </c>
      <c r="G83" s="16">
        <f ca="1" t="shared" si="12"/>
        <v>0</v>
      </c>
    </row>
    <row r="84" spans="2:7">
      <c r="B84" s="17" t="str">
        <f t="shared" si="11"/>
        <v>2/2024</v>
      </c>
      <c r="C84" s="18">
        <f t="shared" si="14"/>
        <v>45326</v>
      </c>
      <c r="D84" s="18" t="str">
        <f t="shared" si="15"/>
        <v>04/02/2024 a 10/02/2024</v>
      </c>
      <c r="E84" s="16">
        <f t="shared" si="7"/>
        <v>374</v>
      </c>
      <c r="F84" s="16">
        <f ca="1" t="shared" si="13"/>
        <v>0</v>
      </c>
      <c r="G84" s="16">
        <f ca="1" t="shared" si="12"/>
        <v>0</v>
      </c>
    </row>
    <row r="85" spans="2:7">
      <c r="B85" s="17" t="str">
        <f t="shared" si="11"/>
        <v>2/2024</v>
      </c>
      <c r="C85" s="18">
        <f t="shared" si="14"/>
        <v>45333</v>
      </c>
      <c r="D85" s="18" t="str">
        <f t="shared" si="15"/>
        <v>11/02/2024 a 17/02/2024</v>
      </c>
      <c r="E85" s="16">
        <f>E80+24</f>
        <v>390</v>
      </c>
      <c r="F85" s="16">
        <f ca="1" t="shared" si="13"/>
        <v>0</v>
      </c>
      <c r="G85" s="16">
        <f ca="1" t="shared" si="12"/>
        <v>0</v>
      </c>
    </row>
    <row r="86" spans="2:7">
      <c r="B86" s="17" t="str">
        <f t="shared" si="11"/>
        <v>2/2024</v>
      </c>
      <c r="C86" s="18">
        <f t="shared" si="14"/>
        <v>45333</v>
      </c>
      <c r="D86" s="18" t="str">
        <f t="shared" si="15"/>
        <v>11/02/2024 a 17/02/2024</v>
      </c>
      <c r="E86" s="16">
        <f t="shared" si="7"/>
        <v>392</v>
      </c>
      <c r="F86" s="16">
        <f ca="1" t="shared" si="13"/>
        <v>0</v>
      </c>
      <c r="G86" s="16">
        <f ca="1" t="shared" si="12"/>
        <v>0</v>
      </c>
    </row>
    <row r="87" spans="2:7">
      <c r="B87" s="17" t="str">
        <f t="shared" si="11"/>
        <v>2/2024</v>
      </c>
      <c r="C87" s="18">
        <f t="shared" si="14"/>
        <v>45333</v>
      </c>
      <c r="D87" s="18" t="str">
        <f t="shared" si="15"/>
        <v>11/02/2024 a 17/02/2024</v>
      </c>
      <c r="E87" s="16">
        <f t="shared" si="7"/>
        <v>394</v>
      </c>
      <c r="F87" s="16">
        <f ca="1" t="shared" si="13"/>
        <v>0</v>
      </c>
      <c r="G87" s="16">
        <f ca="1" t="shared" si="12"/>
        <v>0</v>
      </c>
    </row>
    <row r="88" spans="2:7">
      <c r="B88" s="17" t="str">
        <f t="shared" si="11"/>
        <v>2/2024</v>
      </c>
      <c r="C88" s="18">
        <f t="shared" si="14"/>
        <v>45333</v>
      </c>
      <c r="D88" s="18" t="str">
        <f t="shared" si="15"/>
        <v>11/02/2024 a 17/02/2024</v>
      </c>
      <c r="E88" s="16">
        <f t="shared" si="7"/>
        <v>396</v>
      </c>
      <c r="F88" s="16">
        <f ca="1" t="shared" si="13"/>
        <v>0</v>
      </c>
      <c r="G88" s="16">
        <f ca="1" t="shared" si="12"/>
        <v>0</v>
      </c>
    </row>
    <row r="89" spans="2:7">
      <c r="B89" s="17" t="str">
        <f t="shared" si="11"/>
        <v>2/2024</v>
      </c>
      <c r="C89" s="18">
        <f t="shared" si="14"/>
        <v>45333</v>
      </c>
      <c r="D89" s="18" t="str">
        <f t="shared" si="15"/>
        <v>11/02/2024 a 17/02/2024</v>
      </c>
      <c r="E89" s="16">
        <f t="shared" si="7"/>
        <v>398</v>
      </c>
      <c r="F89" s="16">
        <f ca="1" t="shared" si="13"/>
        <v>0</v>
      </c>
      <c r="G89" s="16">
        <f ca="1" t="shared" si="12"/>
        <v>0</v>
      </c>
    </row>
    <row r="90" spans="2:7">
      <c r="B90" s="17" t="str">
        <f t="shared" si="11"/>
        <v>2/2024</v>
      </c>
      <c r="C90" s="18">
        <f t="shared" si="14"/>
        <v>45340</v>
      </c>
      <c r="D90" s="18" t="str">
        <f t="shared" si="15"/>
        <v>18/02/2024 a 24/02/2024</v>
      </c>
      <c r="E90" s="16">
        <f>E85+24</f>
        <v>414</v>
      </c>
      <c r="F90" s="16">
        <f ca="1" t="shared" si="13"/>
        <v>0</v>
      </c>
      <c r="G90" s="16">
        <f ca="1" t="shared" si="12"/>
        <v>0</v>
      </c>
    </row>
    <row r="91" spans="2:7">
      <c r="B91" s="17" t="str">
        <f t="shared" si="11"/>
        <v>2/2024</v>
      </c>
      <c r="C91" s="18">
        <f t="shared" si="14"/>
        <v>45340</v>
      </c>
      <c r="D91" s="18" t="str">
        <f t="shared" si="15"/>
        <v>18/02/2024 a 24/02/2024</v>
      </c>
      <c r="E91" s="16">
        <f t="shared" ref="E91:E154" si="16">E90+2</f>
        <v>416</v>
      </c>
      <c r="F91" s="16">
        <f ca="1" t="shared" si="13"/>
        <v>0</v>
      </c>
      <c r="G91" s="16">
        <f ca="1" t="shared" si="12"/>
        <v>0</v>
      </c>
    </row>
    <row r="92" spans="2:7">
      <c r="B92" s="17" t="str">
        <f t="shared" si="11"/>
        <v>2/2024</v>
      </c>
      <c r="C92" s="18">
        <f t="shared" si="14"/>
        <v>45340</v>
      </c>
      <c r="D92" s="18" t="str">
        <f t="shared" si="15"/>
        <v>18/02/2024 a 24/02/2024</v>
      </c>
      <c r="E92" s="16">
        <f t="shared" si="16"/>
        <v>418</v>
      </c>
      <c r="F92" s="16">
        <f ca="1" t="shared" si="13"/>
        <v>0</v>
      </c>
      <c r="G92" s="16">
        <f ca="1" t="shared" si="12"/>
        <v>0</v>
      </c>
    </row>
    <row r="93" spans="2:7">
      <c r="B93" s="17" t="str">
        <f t="shared" si="11"/>
        <v>2/2024</v>
      </c>
      <c r="C93" s="18">
        <f t="shared" si="14"/>
        <v>45340</v>
      </c>
      <c r="D93" s="18" t="str">
        <f t="shared" si="15"/>
        <v>18/02/2024 a 24/02/2024</v>
      </c>
      <c r="E93" s="16">
        <f t="shared" si="16"/>
        <v>420</v>
      </c>
      <c r="F93" s="16">
        <f ca="1" t="shared" si="13"/>
        <v>0</v>
      </c>
      <c r="G93" s="16">
        <f ca="1" t="shared" si="12"/>
        <v>0</v>
      </c>
    </row>
    <row r="94" spans="2:7">
      <c r="B94" s="17" t="str">
        <f t="shared" si="11"/>
        <v>2/2024</v>
      </c>
      <c r="C94" s="18">
        <f t="shared" si="14"/>
        <v>45340</v>
      </c>
      <c r="D94" s="18" t="str">
        <f t="shared" si="15"/>
        <v>18/02/2024 a 24/02/2024</v>
      </c>
      <c r="E94" s="16">
        <f t="shared" si="16"/>
        <v>422</v>
      </c>
      <c r="F94" s="16">
        <f ca="1" t="shared" si="13"/>
        <v>0</v>
      </c>
      <c r="G94" s="16">
        <f ca="1" t="shared" si="12"/>
        <v>0</v>
      </c>
    </row>
    <row r="95" spans="2:7">
      <c r="B95" s="17" t="str">
        <f t="shared" si="11"/>
        <v>2/2024</v>
      </c>
      <c r="C95" s="18">
        <f t="shared" si="14"/>
        <v>45347</v>
      </c>
      <c r="D95" s="18" t="str">
        <f t="shared" si="15"/>
        <v>25/02/2024 a 02/03/2024</v>
      </c>
      <c r="E95" s="16">
        <f>E90+24</f>
        <v>438</v>
      </c>
      <c r="F95" s="16">
        <f ca="1" t="shared" si="13"/>
        <v>0</v>
      </c>
      <c r="G95" s="16">
        <f ca="1" t="shared" si="12"/>
        <v>0</v>
      </c>
    </row>
    <row r="96" spans="2:7">
      <c r="B96" s="17" t="str">
        <f t="shared" si="11"/>
        <v>2/2024</v>
      </c>
      <c r="C96" s="18">
        <f t="shared" si="14"/>
        <v>45347</v>
      </c>
      <c r="D96" s="18" t="str">
        <f t="shared" si="15"/>
        <v>25/02/2024 a 02/03/2024</v>
      </c>
      <c r="E96" s="16">
        <f t="shared" si="16"/>
        <v>440</v>
      </c>
      <c r="F96" s="16">
        <f ca="1" t="shared" si="13"/>
        <v>0</v>
      </c>
      <c r="G96" s="16">
        <f ca="1" t="shared" si="12"/>
        <v>0</v>
      </c>
    </row>
    <row r="97" spans="2:7">
      <c r="B97" s="17" t="str">
        <f t="shared" si="11"/>
        <v>2/2024</v>
      </c>
      <c r="C97" s="18">
        <f t="shared" si="14"/>
        <v>45347</v>
      </c>
      <c r="D97" s="18" t="str">
        <f t="shared" si="15"/>
        <v>25/02/2024 a 02/03/2024</v>
      </c>
      <c r="E97" s="16">
        <f t="shared" si="16"/>
        <v>442</v>
      </c>
      <c r="F97" s="16">
        <f ca="1" t="shared" si="13"/>
        <v>0</v>
      </c>
      <c r="G97" s="16">
        <f ca="1" t="shared" si="12"/>
        <v>0</v>
      </c>
    </row>
    <row r="98" spans="2:7">
      <c r="B98" s="17" t="str">
        <f t="shared" si="11"/>
        <v>2/2024</v>
      </c>
      <c r="C98" s="18">
        <f t="shared" si="14"/>
        <v>45347</v>
      </c>
      <c r="D98" s="18" t="str">
        <f t="shared" si="15"/>
        <v>25/02/2024 a 02/03/2024</v>
      </c>
      <c r="E98" s="16">
        <f t="shared" si="16"/>
        <v>444</v>
      </c>
      <c r="F98" s="16">
        <f ca="1" t="shared" si="13"/>
        <v>0</v>
      </c>
      <c r="G98" s="16">
        <f ca="1" t="shared" si="12"/>
        <v>0</v>
      </c>
    </row>
    <row r="99" spans="2:7">
      <c r="B99" s="17" t="str">
        <f t="shared" si="11"/>
        <v>2/2024</v>
      </c>
      <c r="C99" s="18">
        <f t="shared" si="14"/>
        <v>45347</v>
      </c>
      <c r="D99" s="18" t="str">
        <f t="shared" si="15"/>
        <v>25/02/2024 a 02/03/2024</v>
      </c>
      <c r="E99" s="16">
        <f t="shared" si="16"/>
        <v>446</v>
      </c>
      <c r="F99" s="16">
        <f ca="1" t="shared" si="13"/>
        <v>0</v>
      </c>
      <c r="G99" s="16">
        <f ca="1" t="shared" si="12"/>
        <v>0</v>
      </c>
    </row>
    <row r="100" spans="2:7">
      <c r="B100" s="17" t="str">
        <f t="shared" si="11"/>
        <v>3/2024</v>
      </c>
      <c r="C100" s="18">
        <f t="shared" si="14"/>
        <v>45354</v>
      </c>
      <c r="D100" s="18" t="str">
        <f t="shared" si="15"/>
        <v>03/03/2024 a 09/03/2024</v>
      </c>
      <c r="E100" s="16">
        <f>E95+24</f>
        <v>462</v>
      </c>
      <c r="F100" s="16">
        <f ca="1" t="shared" si="13"/>
        <v>0</v>
      </c>
      <c r="G100" s="16">
        <f ca="1" t="shared" si="12"/>
        <v>0</v>
      </c>
    </row>
    <row r="101" spans="2:7">
      <c r="B101" s="17" t="str">
        <f t="shared" si="11"/>
        <v>3/2024</v>
      </c>
      <c r="C101" s="18">
        <f t="shared" si="14"/>
        <v>45354</v>
      </c>
      <c r="D101" s="18" t="str">
        <f t="shared" si="15"/>
        <v>03/03/2024 a 09/03/2024</v>
      </c>
      <c r="E101" s="16">
        <f t="shared" si="16"/>
        <v>464</v>
      </c>
      <c r="F101" s="16">
        <f ca="1" t="shared" si="13"/>
        <v>0</v>
      </c>
      <c r="G101" s="16">
        <f ca="1" t="shared" si="12"/>
        <v>0</v>
      </c>
    </row>
    <row r="102" spans="2:7">
      <c r="B102" s="17" t="str">
        <f t="shared" si="11"/>
        <v>3/2024</v>
      </c>
      <c r="C102" s="18">
        <f t="shared" si="14"/>
        <v>45354</v>
      </c>
      <c r="D102" s="18" t="str">
        <f t="shared" si="15"/>
        <v>03/03/2024 a 09/03/2024</v>
      </c>
      <c r="E102" s="16">
        <f t="shared" si="16"/>
        <v>466</v>
      </c>
      <c r="F102" s="16">
        <f ca="1" t="shared" si="13"/>
        <v>0</v>
      </c>
      <c r="G102" s="16">
        <f ca="1" t="shared" si="12"/>
        <v>0</v>
      </c>
    </row>
    <row r="103" spans="2:7">
      <c r="B103" s="17" t="str">
        <f t="shared" si="11"/>
        <v>3/2024</v>
      </c>
      <c r="C103" s="18">
        <f t="shared" si="14"/>
        <v>45354</v>
      </c>
      <c r="D103" s="18" t="str">
        <f t="shared" si="15"/>
        <v>03/03/2024 a 09/03/2024</v>
      </c>
      <c r="E103" s="16">
        <f t="shared" si="16"/>
        <v>468</v>
      </c>
      <c r="F103" s="16">
        <f ca="1" t="shared" si="13"/>
        <v>0</v>
      </c>
      <c r="G103" s="16">
        <f ca="1" t="shared" si="12"/>
        <v>0</v>
      </c>
    </row>
    <row r="104" spans="2:7">
      <c r="B104" s="17" t="str">
        <f t="shared" si="11"/>
        <v>3/2024</v>
      </c>
      <c r="C104" s="18">
        <f t="shared" si="14"/>
        <v>45354</v>
      </c>
      <c r="D104" s="18" t="str">
        <f t="shared" si="15"/>
        <v>03/03/2024 a 09/03/2024</v>
      </c>
      <c r="E104" s="16">
        <f t="shared" si="16"/>
        <v>470</v>
      </c>
      <c r="F104" s="16">
        <f ca="1" t="shared" si="13"/>
        <v>0</v>
      </c>
      <c r="G104" s="16">
        <f ca="1" t="shared" si="12"/>
        <v>0</v>
      </c>
    </row>
    <row r="105" spans="2:7">
      <c r="B105" s="17" t="str">
        <f t="shared" si="11"/>
        <v>3/2024</v>
      </c>
      <c r="C105" s="18">
        <f t="shared" si="14"/>
        <v>45361</v>
      </c>
      <c r="D105" s="18" t="str">
        <f t="shared" si="15"/>
        <v>10/03/2024 a 16/03/2024</v>
      </c>
      <c r="E105" s="16">
        <f>E100+24</f>
        <v>486</v>
      </c>
      <c r="F105" s="16">
        <f ca="1" t="shared" si="13"/>
        <v>0</v>
      </c>
      <c r="G105" s="16">
        <f ca="1" t="shared" si="12"/>
        <v>0</v>
      </c>
    </row>
    <row r="106" spans="2:7">
      <c r="B106" s="17" t="str">
        <f t="shared" si="11"/>
        <v>3/2024</v>
      </c>
      <c r="C106" s="18">
        <f t="shared" si="14"/>
        <v>45361</v>
      </c>
      <c r="D106" s="18" t="str">
        <f t="shared" si="15"/>
        <v>10/03/2024 a 16/03/2024</v>
      </c>
      <c r="E106" s="16">
        <f t="shared" si="16"/>
        <v>488</v>
      </c>
      <c r="F106" s="16">
        <f ca="1" t="shared" si="13"/>
        <v>0</v>
      </c>
      <c r="G106" s="16">
        <f ca="1" t="shared" si="12"/>
        <v>0</v>
      </c>
    </row>
    <row r="107" spans="2:7">
      <c r="B107" s="17" t="str">
        <f t="shared" si="11"/>
        <v>3/2024</v>
      </c>
      <c r="C107" s="18">
        <f t="shared" si="14"/>
        <v>45361</v>
      </c>
      <c r="D107" s="18" t="str">
        <f t="shared" si="15"/>
        <v>10/03/2024 a 16/03/2024</v>
      </c>
      <c r="E107" s="16">
        <f t="shared" si="16"/>
        <v>490</v>
      </c>
      <c r="F107" s="16">
        <f ca="1" t="shared" si="13"/>
        <v>0</v>
      </c>
      <c r="G107" s="16">
        <f ca="1" t="shared" si="12"/>
        <v>0</v>
      </c>
    </row>
    <row r="108" spans="2:7">
      <c r="B108" s="17" t="str">
        <f t="shared" si="11"/>
        <v>3/2024</v>
      </c>
      <c r="C108" s="18">
        <f t="shared" si="14"/>
        <v>45361</v>
      </c>
      <c r="D108" s="18" t="str">
        <f t="shared" si="15"/>
        <v>10/03/2024 a 16/03/2024</v>
      </c>
      <c r="E108" s="16">
        <f t="shared" si="16"/>
        <v>492</v>
      </c>
      <c r="F108" s="16">
        <f ca="1" t="shared" si="13"/>
        <v>0</v>
      </c>
      <c r="G108" s="16">
        <f ca="1" t="shared" si="12"/>
        <v>0</v>
      </c>
    </row>
    <row r="109" spans="2:7">
      <c r="B109" s="17" t="str">
        <f t="shared" si="11"/>
        <v>3/2024</v>
      </c>
      <c r="C109" s="18">
        <f t="shared" si="14"/>
        <v>45361</v>
      </c>
      <c r="D109" s="18" t="str">
        <f t="shared" si="15"/>
        <v>10/03/2024 a 16/03/2024</v>
      </c>
      <c r="E109" s="16">
        <f t="shared" si="16"/>
        <v>494</v>
      </c>
      <c r="F109" s="16">
        <f ca="1" t="shared" si="13"/>
        <v>0</v>
      </c>
      <c r="G109" s="16">
        <f ca="1" t="shared" si="12"/>
        <v>0</v>
      </c>
    </row>
    <row r="110" spans="2:7">
      <c r="B110" s="17" t="str">
        <f t="shared" si="11"/>
        <v>3/2024</v>
      </c>
      <c r="C110" s="18">
        <f t="shared" si="14"/>
        <v>45368</v>
      </c>
      <c r="D110" s="18" t="str">
        <f t="shared" si="15"/>
        <v>17/03/2024 a 23/03/2024</v>
      </c>
      <c r="E110" s="16">
        <f>E105+24</f>
        <v>510</v>
      </c>
      <c r="F110" s="16">
        <f ca="1" t="shared" si="13"/>
        <v>0</v>
      </c>
      <c r="G110" s="16">
        <f ca="1" t="shared" si="12"/>
        <v>0</v>
      </c>
    </row>
    <row r="111" spans="2:7">
      <c r="B111" s="17" t="str">
        <f t="shared" si="11"/>
        <v>3/2024</v>
      </c>
      <c r="C111" s="18">
        <f t="shared" si="14"/>
        <v>45368</v>
      </c>
      <c r="D111" s="18" t="str">
        <f t="shared" si="15"/>
        <v>17/03/2024 a 23/03/2024</v>
      </c>
      <c r="E111" s="16">
        <f t="shared" si="16"/>
        <v>512</v>
      </c>
      <c r="F111" s="16">
        <f ca="1" t="shared" si="13"/>
        <v>0</v>
      </c>
      <c r="G111" s="16">
        <f ca="1" t="shared" si="12"/>
        <v>0</v>
      </c>
    </row>
    <row r="112" spans="2:7">
      <c r="B112" s="17" t="str">
        <f t="shared" si="11"/>
        <v>3/2024</v>
      </c>
      <c r="C112" s="18">
        <f t="shared" si="14"/>
        <v>45368</v>
      </c>
      <c r="D112" s="18" t="str">
        <f t="shared" si="15"/>
        <v>17/03/2024 a 23/03/2024</v>
      </c>
      <c r="E112" s="16">
        <f t="shared" si="16"/>
        <v>514</v>
      </c>
      <c r="F112" s="16">
        <f ca="1" t="shared" si="13"/>
        <v>0</v>
      </c>
      <c r="G112" s="16">
        <f ca="1" t="shared" si="12"/>
        <v>0</v>
      </c>
    </row>
    <row r="113" spans="2:7">
      <c r="B113" s="17" t="str">
        <f t="shared" si="11"/>
        <v>3/2024</v>
      </c>
      <c r="C113" s="18">
        <f t="shared" si="14"/>
        <v>45368</v>
      </c>
      <c r="D113" s="18" t="str">
        <f t="shared" si="15"/>
        <v>17/03/2024 a 23/03/2024</v>
      </c>
      <c r="E113" s="16">
        <f t="shared" si="16"/>
        <v>516</v>
      </c>
      <c r="F113" s="16">
        <f ca="1" t="shared" si="13"/>
        <v>0</v>
      </c>
      <c r="G113" s="16">
        <f ca="1" t="shared" si="12"/>
        <v>0</v>
      </c>
    </row>
    <row r="114" spans="2:7">
      <c r="B114" s="17" t="str">
        <f t="shared" si="11"/>
        <v>3/2024</v>
      </c>
      <c r="C114" s="18">
        <f t="shared" si="14"/>
        <v>45368</v>
      </c>
      <c r="D114" s="18" t="str">
        <f t="shared" si="15"/>
        <v>17/03/2024 a 23/03/2024</v>
      </c>
      <c r="E114" s="16">
        <f t="shared" si="16"/>
        <v>518</v>
      </c>
      <c r="F114" s="16">
        <f ca="1" t="shared" si="13"/>
        <v>0</v>
      </c>
      <c r="G114" s="16">
        <f ca="1" t="shared" si="12"/>
        <v>0</v>
      </c>
    </row>
    <row r="115" spans="2:7">
      <c r="B115" s="17" t="str">
        <f t="shared" si="11"/>
        <v>3/2024</v>
      </c>
      <c r="C115" s="18">
        <f t="shared" si="14"/>
        <v>45375</v>
      </c>
      <c r="D115" s="18" t="str">
        <f t="shared" si="15"/>
        <v>24/03/2024 a 30/03/2024</v>
      </c>
      <c r="E115" s="16">
        <f>E110+24</f>
        <v>534</v>
      </c>
      <c r="F115" s="16">
        <f ca="1" t="shared" si="13"/>
        <v>0</v>
      </c>
      <c r="G115" s="16">
        <f ca="1" t="shared" si="12"/>
        <v>0</v>
      </c>
    </row>
    <row r="116" spans="2:7">
      <c r="B116" s="17" t="str">
        <f t="shared" si="11"/>
        <v>3/2024</v>
      </c>
      <c r="C116" s="18">
        <f t="shared" si="14"/>
        <v>45375</v>
      </c>
      <c r="D116" s="18" t="str">
        <f t="shared" si="15"/>
        <v>24/03/2024 a 30/03/2024</v>
      </c>
      <c r="E116" s="16">
        <f t="shared" si="16"/>
        <v>536</v>
      </c>
      <c r="F116" s="16">
        <f ca="1" t="shared" si="13"/>
        <v>0</v>
      </c>
      <c r="G116" s="16">
        <f ca="1" t="shared" si="12"/>
        <v>0</v>
      </c>
    </row>
    <row r="117" spans="2:7">
      <c r="B117" s="17" t="str">
        <f t="shared" si="11"/>
        <v>3/2024</v>
      </c>
      <c r="C117" s="18">
        <f t="shared" si="14"/>
        <v>45375</v>
      </c>
      <c r="D117" s="18" t="str">
        <f t="shared" si="15"/>
        <v>24/03/2024 a 30/03/2024</v>
      </c>
      <c r="E117" s="16">
        <f t="shared" si="16"/>
        <v>538</v>
      </c>
      <c r="F117" s="16">
        <f ca="1" t="shared" si="13"/>
        <v>0</v>
      </c>
      <c r="G117" s="16">
        <f ca="1" t="shared" si="12"/>
        <v>0</v>
      </c>
    </row>
    <row r="118" spans="2:7">
      <c r="B118" s="17" t="str">
        <f t="shared" si="11"/>
        <v>3/2024</v>
      </c>
      <c r="C118" s="18">
        <f t="shared" si="14"/>
        <v>45375</v>
      </c>
      <c r="D118" s="18" t="str">
        <f t="shared" si="15"/>
        <v>24/03/2024 a 30/03/2024</v>
      </c>
      <c r="E118" s="16">
        <f t="shared" si="16"/>
        <v>540</v>
      </c>
      <c r="F118" s="16">
        <f ca="1" t="shared" si="13"/>
        <v>0</v>
      </c>
      <c r="G118" s="16">
        <f ca="1" t="shared" si="12"/>
        <v>0</v>
      </c>
    </row>
    <row r="119" spans="2:7">
      <c r="B119" s="17" t="str">
        <f t="shared" si="11"/>
        <v>3/2024</v>
      </c>
      <c r="C119" s="18">
        <f t="shared" si="14"/>
        <v>45375</v>
      </c>
      <c r="D119" s="18" t="str">
        <f t="shared" si="15"/>
        <v>24/03/2024 a 30/03/2024</v>
      </c>
      <c r="E119" s="16">
        <f t="shared" si="16"/>
        <v>542</v>
      </c>
      <c r="F119" s="16">
        <f ca="1" t="shared" si="13"/>
        <v>0</v>
      </c>
      <c r="G119" s="16">
        <f ca="1" t="shared" si="12"/>
        <v>0</v>
      </c>
    </row>
    <row r="120" spans="2:7">
      <c r="B120" s="17" t="str">
        <f t="shared" si="11"/>
        <v>3/2024</v>
      </c>
      <c r="C120" s="18">
        <f t="shared" si="14"/>
        <v>45382</v>
      </c>
      <c r="D120" s="18" t="str">
        <f t="shared" si="15"/>
        <v>31/03/2024 a 06/04/2024</v>
      </c>
      <c r="E120" s="16">
        <f>E115+24</f>
        <v>558</v>
      </c>
      <c r="F120" s="16">
        <f ca="1" t="shared" si="13"/>
        <v>0</v>
      </c>
      <c r="G120" s="16">
        <f ca="1" t="shared" si="12"/>
        <v>0</v>
      </c>
    </row>
    <row r="121" spans="2:7">
      <c r="B121" s="17" t="str">
        <f t="shared" ref="B121:B184" si="17">MONTH(C121)&amp;"/"&amp;YEAR(C121)</f>
        <v>3/2024</v>
      </c>
      <c r="C121" s="18">
        <f t="shared" si="14"/>
        <v>45382</v>
      </c>
      <c r="D121" s="18" t="str">
        <f t="shared" si="15"/>
        <v>31/03/2024 a 06/04/2024</v>
      </c>
      <c r="E121" s="16">
        <f t="shared" si="16"/>
        <v>560</v>
      </c>
      <c r="F121" s="16">
        <f ca="1" t="shared" si="13"/>
        <v>0</v>
      </c>
      <c r="G121" s="16">
        <f ca="1" t="shared" ref="G121:G184" si="18">INDIRECT("'Diário'!J"&amp;E121)</f>
        <v>0</v>
      </c>
    </row>
    <row r="122" spans="2:7">
      <c r="B122" s="17" t="str">
        <f t="shared" si="17"/>
        <v>3/2024</v>
      </c>
      <c r="C122" s="18">
        <f t="shared" si="14"/>
        <v>45382</v>
      </c>
      <c r="D122" s="18" t="str">
        <f t="shared" si="15"/>
        <v>31/03/2024 a 06/04/2024</v>
      </c>
      <c r="E122" s="16">
        <f t="shared" si="16"/>
        <v>562</v>
      </c>
      <c r="F122" s="16">
        <f ca="1" t="shared" si="13"/>
        <v>0</v>
      </c>
      <c r="G122" s="16">
        <f ca="1" t="shared" si="18"/>
        <v>0</v>
      </c>
    </row>
    <row r="123" spans="2:7">
      <c r="B123" s="17" t="str">
        <f t="shared" si="17"/>
        <v>3/2024</v>
      </c>
      <c r="C123" s="18">
        <f t="shared" si="14"/>
        <v>45382</v>
      </c>
      <c r="D123" s="18" t="str">
        <f t="shared" si="15"/>
        <v>31/03/2024 a 06/04/2024</v>
      </c>
      <c r="E123" s="16">
        <f t="shared" si="16"/>
        <v>564</v>
      </c>
      <c r="F123" s="16">
        <f ca="1" t="shared" si="13"/>
        <v>0</v>
      </c>
      <c r="G123" s="16">
        <f ca="1" t="shared" si="18"/>
        <v>0</v>
      </c>
    </row>
    <row r="124" spans="2:7">
      <c r="B124" s="17" t="str">
        <f t="shared" si="17"/>
        <v>3/2024</v>
      </c>
      <c r="C124" s="18">
        <f t="shared" si="14"/>
        <v>45382</v>
      </c>
      <c r="D124" s="18" t="str">
        <f t="shared" si="15"/>
        <v>31/03/2024 a 06/04/2024</v>
      </c>
      <c r="E124" s="16">
        <f t="shared" si="16"/>
        <v>566</v>
      </c>
      <c r="F124" s="16">
        <f ca="1" t="shared" si="13"/>
        <v>0</v>
      </c>
      <c r="G124" s="16">
        <f ca="1" t="shared" si="18"/>
        <v>0</v>
      </c>
    </row>
    <row r="125" spans="2:7">
      <c r="B125" s="17" t="str">
        <f t="shared" si="17"/>
        <v>4/2024</v>
      </c>
      <c r="C125" s="18">
        <f t="shared" si="14"/>
        <v>45389</v>
      </c>
      <c r="D125" s="18" t="str">
        <f t="shared" si="15"/>
        <v>07/04/2024 a 13/04/2024</v>
      </c>
      <c r="E125" s="16">
        <f>E120+24</f>
        <v>582</v>
      </c>
      <c r="F125" s="16">
        <f ca="1" t="shared" si="13"/>
        <v>0</v>
      </c>
      <c r="G125" s="16">
        <f ca="1" t="shared" si="18"/>
        <v>0</v>
      </c>
    </row>
    <row r="126" spans="2:7">
      <c r="B126" s="17" t="str">
        <f t="shared" si="17"/>
        <v>4/2024</v>
      </c>
      <c r="C126" s="18">
        <f t="shared" si="14"/>
        <v>45389</v>
      </c>
      <c r="D126" s="18" t="str">
        <f t="shared" si="15"/>
        <v>07/04/2024 a 13/04/2024</v>
      </c>
      <c r="E126" s="16">
        <f t="shared" si="16"/>
        <v>584</v>
      </c>
      <c r="F126" s="16">
        <f ca="1" t="shared" ref="F126:F189" si="19">INDIRECT("Diário!I"&amp;E126)</f>
        <v>0</v>
      </c>
      <c r="G126" s="16">
        <f ca="1" t="shared" si="18"/>
        <v>0</v>
      </c>
    </row>
    <row r="127" spans="2:7">
      <c r="B127" s="17" t="str">
        <f t="shared" si="17"/>
        <v>4/2024</v>
      </c>
      <c r="C127" s="18">
        <f t="shared" si="14"/>
        <v>45389</v>
      </c>
      <c r="D127" s="18" t="str">
        <f t="shared" si="15"/>
        <v>07/04/2024 a 13/04/2024</v>
      </c>
      <c r="E127" s="16">
        <f t="shared" si="16"/>
        <v>586</v>
      </c>
      <c r="F127" s="16">
        <f ca="1" t="shared" si="19"/>
        <v>0</v>
      </c>
      <c r="G127" s="16">
        <f ca="1" t="shared" si="18"/>
        <v>0</v>
      </c>
    </row>
    <row r="128" spans="2:7">
      <c r="B128" s="17" t="str">
        <f t="shared" si="17"/>
        <v>4/2024</v>
      </c>
      <c r="C128" s="18">
        <f t="shared" si="14"/>
        <v>45389</v>
      </c>
      <c r="D128" s="18" t="str">
        <f t="shared" si="15"/>
        <v>07/04/2024 a 13/04/2024</v>
      </c>
      <c r="E128" s="16">
        <f t="shared" si="16"/>
        <v>588</v>
      </c>
      <c r="F128" s="16">
        <f ca="1" t="shared" si="19"/>
        <v>0</v>
      </c>
      <c r="G128" s="16">
        <f ca="1" t="shared" si="18"/>
        <v>0</v>
      </c>
    </row>
    <row r="129" spans="2:7">
      <c r="B129" s="17" t="str">
        <f t="shared" si="17"/>
        <v>4/2024</v>
      </c>
      <c r="C129" s="18">
        <f t="shared" si="14"/>
        <v>45389</v>
      </c>
      <c r="D129" s="18" t="str">
        <f t="shared" si="15"/>
        <v>07/04/2024 a 13/04/2024</v>
      </c>
      <c r="E129" s="16">
        <f t="shared" si="16"/>
        <v>590</v>
      </c>
      <c r="F129" s="16">
        <f ca="1" t="shared" si="19"/>
        <v>0</v>
      </c>
      <c r="G129" s="16">
        <f ca="1" t="shared" si="18"/>
        <v>0</v>
      </c>
    </row>
    <row r="130" spans="2:7">
      <c r="B130" s="17" t="str">
        <f t="shared" si="17"/>
        <v>4/2024</v>
      </c>
      <c r="C130" s="18">
        <f t="shared" si="14"/>
        <v>45396</v>
      </c>
      <c r="D130" s="18" t="str">
        <f t="shared" si="15"/>
        <v>14/04/2024 a 20/04/2024</v>
      </c>
      <c r="E130" s="16">
        <f>E125+24</f>
        <v>606</v>
      </c>
      <c r="F130" s="16">
        <f ca="1" t="shared" si="19"/>
        <v>0</v>
      </c>
      <c r="G130" s="16">
        <f ca="1" t="shared" si="18"/>
        <v>0</v>
      </c>
    </row>
    <row r="131" spans="2:7">
      <c r="B131" s="17" t="str">
        <f t="shared" si="17"/>
        <v>4/2024</v>
      </c>
      <c r="C131" s="18">
        <f t="shared" si="14"/>
        <v>45396</v>
      </c>
      <c r="D131" s="18" t="str">
        <f t="shared" si="15"/>
        <v>14/04/2024 a 20/04/2024</v>
      </c>
      <c r="E131" s="16">
        <f t="shared" si="16"/>
        <v>608</v>
      </c>
      <c r="F131" s="16">
        <f ca="1" t="shared" si="19"/>
        <v>0</v>
      </c>
      <c r="G131" s="16">
        <f ca="1" t="shared" si="18"/>
        <v>0</v>
      </c>
    </row>
    <row r="132" spans="2:7">
      <c r="B132" s="17" t="str">
        <f t="shared" si="17"/>
        <v>4/2024</v>
      </c>
      <c r="C132" s="18">
        <f t="shared" si="14"/>
        <v>45396</v>
      </c>
      <c r="D132" s="18" t="str">
        <f t="shared" si="15"/>
        <v>14/04/2024 a 20/04/2024</v>
      </c>
      <c r="E132" s="16">
        <f t="shared" si="16"/>
        <v>610</v>
      </c>
      <c r="F132" s="16">
        <f ca="1" t="shared" si="19"/>
        <v>0</v>
      </c>
      <c r="G132" s="16">
        <f ca="1" t="shared" si="18"/>
        <v>0</v>
      </c>
    </row>
    <row r="133" spans="2:7">
      <c r="B133" s="17" t="str">
        <f t="shared" si="17"/>
        <v>4/2024</v>
      </c>
      <c r="C133" s="18">
        <f t="shared" si="14"/>
        <v>45396</v>
      </c>
      <c r="D133" s="18" t="str">
        <f t="shared" si="15"/>
        <v>14/04/2024 a 20/04/2024</v>
      </c>
      <c r="E133" s="16">
        <f t="shared" si="16"/>
        <v>612</v>
      </c>
      <c r="F133" s="16">
        <f ca="1" t="shared" si="19"/>
        <v>0</v>
      </c>
      <c r="G133" s="16">
        <f ca="1" t="shared" si="18"/>
        <v>0</v>
      </c>
    </row>
    <row r="134" spans="2:7">
      <c r="B134" s="17" t="str">
        <f t="shared" si="17"/>
        <v>4/2024</v>
      </c>
      <c r="C134" s="18">
        <f t="shared" si="14"/>
        <v>45396</v>
      </c>
      <c r="D134" s="18" t="str">
        <f t="shared" si="15"/>
        <v>14/04/2024 a 20/04/2024</v>
      </c>
      <c r="E134" s="16">
        <f t="shared" si="16"/>
        <v>614</v>
      </c>
      <c r="F134" s="16">
        <f ca="1" t="shared" si="19"/>
        <v>0</v>
      </c>
      <c r="G134" s="16">
        <f ca="1" t="shared" si="18"/>
        <v>0</v>
      </c>
    </row>
    <row r="135" spans="2:7">
      <c r="B135" s="17" t="str">
        <f t="shared" si="17"/>
        <v>4/2024</v>
      </c>
      <c r="C135" s="18">
        <f t="shared" si="14"/>
        <v>45403</v>
      </c>
      <c r="D135" s="18" t="str">
        <f t="shared" si="15"/>
        <v>21/04/2024 a 27/04/2024</v>
      </c>
      <c r="E135" s="16">
        <f>E130+24</f>
        <v>630</v>
      </c>
      <c r="F135" s="16">
        <f ca="1" t="shared" si="19"/>
        <v>0</v>
      </c>
      <c r="G135" s="16">
        <f ca="1" t="shared" si="18"/>
        <v>0</v>
      </c>
    </row>
    <row r="136" spans="2:7">
      <c r="B136" s="17" t="str">
        <f t="shared" si="17"/>
        <v>4/2024</v>
      </c>
      <c r="C136" s="18">
        <f t="shared" si="14"/>
        <v>45403</v>
      </c>
      <c r="D136" s="18" t="str">
        <f t="shared" si="15"/>
        <v>21/04/2024 a 27/04/2024</v>
      </c>
      <c r="E136" s="16">
        <f t="shared" si="16"/>
        <v>632</v>
      </c>
      <c r="F136" s="16">
        <f ca="1" t="shared" si="19"/>
        <v>0</v>
      </c>
      <c r="G136" s="16">
        <f ca="1" t="shared" si="18"/>
        <v>0</v>
      </c>
    </row>
    <row r="137" spans="2:7">
      <c r="B137" s="17" t="str">
        <f t="shared" si="17"/>
        <v>4/2024</v>
      </c>
      <c r="C137" s="18">
        <f t="shared" si="14"/>
        <v>45403</v>
      </c>
      <c r="D137" s="18" t="str">
        <f t="shared" si="15"/>
        <v>21/04/2024 a 27/04/2024</v>
      </c>
      <c r="E137" s="16">
        <f t="shared" si="16"/>
        <v>634</v>
      </c>
      <c r="F137" s="16">
        <f ca="1" t="shared" si="19"/>
        <v>0</v>
      </c>
      <c r="G137" s="16">
        <f ca="1" t="shared" si="18"/>
        <v>0</v>
      </c>
    </row>
    <row r="138" spans="2:7">
      <c r="B138" s="17" t="str">
        <f t="shared" si="17"/>
        <v>4/2024</v>
      </c>
      <c r="C138" s="18">
        <f t="shared" si="14"/>
        <v>45403</v>
      </c>
      <c r="D138" s="18" t="str">
        <f t="shared" si="15"/>
        <v>21/04/2024 a 27/04/2024</v>
      </c>
      <c r="E138" s="16">
        <f t="shared" si="16"/>
        <v>636</v>
      </c>
      <c r="F138" s="16">
        <f ca="1" t="shared" si="19"/>
        <v>0</v>
      </c>
      <c r="G138" s="16">
        <f ca="1" t="shared" si="18"/>
        <v>0</v>
      </c>
    </row>
    <row r="139" spans="2:7">
      <c r="B139" s="17" t="str">
        <f t="shared" si="17"/>
        <v>4/2024</v>
      </c>
      <c r="C139" s="18">
        <f t="shared" si="14"/>
        <v>45403</v>
      </c>
      <c r="D139" s="18" t="str">
        <f t="shared" si="15"/>
        <v>21/04/2024 a 27/04/2024</v>
      </c>
      <c r="E139" s="16">
        <f t="shared" si="16"/>
        <v>638</v>
      </c>
      <c r="F139" s="16">
        <f ca="1" t="shared" si="19"/>
        <v>0</v>
      </c>
      <c r="G139" s="16">
        <f ca="1" t="shared" si="18"/>
        <v>0</v>
      </c>
    </row>
    <row r="140" spans="2:7">
      <c r="B140" s="17" t="str">
        <f t="shared" si="17"/>
        <v>4/2024</v>
      </c>
      <c r="C140" s="18">
        <f t="shared" si="14"/>
        <v>45410</v>
      </c>
      <c r="D140" s="18" t="str">
        <f t="shared" si="15"/>
        <v>28/04/2024 a 04/05/2024</v>
      </c>
      <c r="E140" s="16">
        <f>E135+24</f>
        <v>654</v>
      </c>
      <c r="F140" s="16">
        <f ca="1" t="shared" si="19"/>
        <v>0</v>
      </c>
      <c r="G140" s="16">
        <f ca="1" t="shared" si="18"/>
        <v>0</v>
      </c>
    </row>
    <row r="141" spans="2:7">
      <c r="B141" s="17" t="str">
        <f t="shared" si="17"/>
        <v>4/2024</v>
      </c>
      <c r="C141" s="18">
        <f t="shared" si="14"/>
        <v>45410</v>
      </c>
      <c r="D141" s="18" t="str">
        <f t="shared" si="15"/>
        <v>28/04/2024 a 04/05/2024</v>
      </c>
      <c r="E141" s="16">
        <f t="shared" si="16"/>
        <v>656</v>
      </c>
      <c r="F141" s="16">
        <f ca="1" t="shared" si="19"/>
        <v>0</v>
      </c>
      <c r="G141" s="16">
        <f ca="1" t="shared" si="18"/>
        <v>0</v>
      </c>
    </row>
    <row r="142" spans="2:7">
      <c r="B142" s="17" t="str">
        <f t="shared" si="17"/>
        <v>4/2024</v>
      </c>
      <c r="C142" s="18">
        <f t="shared" si="14"/>
        <v>45410</v>
      </c>
      <c r="D142" s="18" t="str">
        <f t="shared" si="15"/>
        <v>28/04/2024 a 04/05/2024</v>
      </c>
      <c r="E142" s="16">
        <f t="shared" si="16"/>
        <v>658</v>
      </c>
      <c r="F142" s="16">
        <f ca="1" t="shared" si="19"/>
        <v>0</v>
      </c>
      <c r="G142" s="16">
        <f ca="1" t="shared" si="18"/>
        <v>0</v>
      </c>
    </row>
    <row r="143" spans="2:7">
      <c r="B143" s="17" t="str">
        <f t="shared" si="17"/>
        <v>4/2024</v>
      </c>
      <c r="C143" s="18">
        <f t="shared" si="14"/>
        <v>45410</v>
      </c>
      <c r="D143" s="18" t="str">
        <f t="shared" si="15"/>
        <v>28/04/2024 a 04/05/2024</v>
      </c>
      <c r="E143" s="16">
        <f t="shared" si="16"/>
        <v>660</v>
      </c>
      <c r="F143" s="16">
        <f ca="1" t="shared" si="19"/>
        <v>0</v>
      </c>
      <c r="G143" s="16">
        <f ca="1" t="shared" si="18"/>
        <v>0</v>
      </c>
    </row>
    <row r="144" spans="2:7">
      <c r="B144" s="17" t="str">
        <f t="shared" si="17"/>
        <v>4/2024</v>
      </c>
      <c r="C144" s="18">
        <f t="shared" si="14"/>
        <v>45410</v>
      </c>
      <c r="D144" s="18" t="str">
        <f t="shared" si="15"/>
        <v>28/04/2024 a 04/05/2024</v>
      </c>
      <c r="E144" s="16">
        <f t="shared" si="16"/>
        <v>662</v>
      </c>
      <c r="F144" s="16">
        <f ca="1" t="shared" si="19"/>
        <v>0</v>
      </c>
      <c r="G144" s="16">
        <f ca="1" t="shared" si="18"/>
        <v>0</v>
      </c>
    </row>
    <row r="145" spans="2:7">
      <c r="B145" s="17" t="str">
        <f t="shared" si="17"/>
        <v>5/2024</v>
      </c>
      <c r="C145" s="18">
        <f t="shared" si="14"/>
        <v>45417</v>
      </c>
      <c r="D145" s="18" t="str">
        <f t="shared" si="15"/>
        <v>05/05/2024 a 11/05/2024</v>
      </c>
      <c r="E145" s="16">
        <f>E140+24</f>
        <v>678</v>
      </c>
      <c r="F145" s="16">
        <f ca="1" t="shared" si="19"/>
        <v>0</v>
      </c>
      <c r="G145" s="16">
        <f ca="1" t="shared" si="18"/>
        <v>0</v>
      </c>
    </row>
    <row r="146" spans="2:7">
      <c r="B146" s="17" t="str">
        <f t="shared" si="17"/>
        <v>5/2024</v>
      </c>
      <c r="C146" s="18">
        <f t="shared" ref="C146:C209" si="20">C141+7</f>
        <v>45417</v>
      </c>
      <c r="D146" s="18" t="str">
        <f t="shared" si="15"/>
        <v>05/05/2024 a 11/05/2024</v>
      </c>
      <c r="E146" s="16">
        <f t="shared" si="16"/>
        <v>680</v>
      </c>
      <c r="F146" s="16">
        <f ca="1" t="shared" si="19"/>
        <v>0</v>
      </c>
      <c r="G146" s="16">
        <f ca="1" t="shared" si="18"/>
        <v>0</v>
      </c>
    </row>
    <row r="147" spans="2:7">
      <c r="B147" s="17" t="str">
        <f t="shared" si="17"/>
        <v>5/2024</v>
      </c>
      <c r="C147" s="18">
        <f t="shared" si="20"/>
        <v>45417</v>
      </c>
      <c r="D147" s="18" t="str">
        <f t="shared" ref="D147:D210" si="21">TEXT((C147),"DD/MM/AAAA")&amp;" a "&amp;TEXT((C147+6),"DD/MM/AAAA")</f>
        <v>05/05/2024 a 11/05/2024</v>
      </c>
      <c r="E147" s="16">
        <f t="shared" si="16"/>
        <v>682</v>
      </c>
      <c r="F147" s="16">
        <f ca="1" t="shared" si="19"/>
        <v>0</v>
      </c>
      <c r="G147" s="16">
        <f ca="1" t="shared" si="18"/>
        <v>0</v>
      </c>
    </row>
    <row r="148" spans="2:7">
      <c r="B148" s="17" t="str">
        <f t="shared" si="17"/>
        <v>5/2024</v>
      </c>
      <c r="C148" s="18">
        <f t="shared" si="20"/>
        <v>45417</v>
      </c>
      <c r="D148" s="18" t="str">
        <f t="shared" si="21"/>
        <v>05/05/2024 a 11/05/2024</v>
      </c>
      <c r="E148" s="16">
        <f t="shared" si="16"/>
        <v>684</v>
      </c>
      <c r="F148" s="16">
        <f ca="1" t="shared" si="19"/>
        <v>0</v>
      </c>
      <c r="G148" s="16">
        <f ca="1" t="shared" si="18"/>
        <v>0</v>
      </c>
    </row>
    <row r="149" spans="2:7">
      <c r="B149" s="17" t="str">
        <f t="shared" si="17"/>
        <v>5/2024</v>
      </c>
      <c r="C149" s="18">
        <f t="shared" si="20"/>
        <v>45417</v>
      </c>
      <c r="D149" s="18" t="str">
        <f t="shared" si="21"/>
        <v>05/05/2024 a 11/05/2024</v>
      </c>
      <c r="E149" s="16">
        <f t="shared" si="16"/>
        <v>686</v>
      </c>
      <c r="F149" s="16">
        <f ca="1" t="shared" si="19"/>
        <v>0</v>
      </c>
      <c r="G149" s="16">
        <f ca="1" t="shared" si="18"/>
        <v>0</v>
      </c>
    </row>
    <row r="150" spans="2:7">
      <c r="B150" s="17" t="str">
        <f t="shared" si="17"/>
        <v>5/2024</v>
      </c>
      <c r="C150" s="18">
        <f t="shared" si="20"/>
        <v>45424</v>
      </c>
      <c r="D150" s="18" t="str">
        <f t="shared" si="21"/>
        <v>12/05/2024 a 18/05/2024</v>
      </c>
      <c r="E150" s="16">
        <f>E145+24</f>
        <v>702</v>
      </c>
      <c r="F150" s="16">
        <f ca="1" t="shared" si="19"/>
        <v>0</v>
      </c>
      <c r="G150" s="16">
        <f ca="1" t="shared" si="18"/>
        <v>0</v>
      </c>
    </row>
    <row r="151" spans="2:7">
      <c r="B151" s="17" t="str">
        <f t="shared" si="17"/>
        <v>5/2024</v>
      </c>
      <c r="C151" s="18">
        <f t="shared" si="20"/>
        <v>45424</v>
      </c>
      <c r="D151" s="18" t="str">
        <f t="shared" si="21"/>
        <v>12/05/2024 a 18/05/2024</v>
      </c>
      <c r="E151" s="16">
        <f t="shared" si="16"/>
        <v>704</v>
      </c>
      <c r="F151" s="16">
        <f ca="1" t="shared" si="19"/>
        <v>0</v>
      </c>
      <c r="G151" s="16">
        <f ca="1" t="shared" si="18"/>
        <v>0</v>
      </c>
    </row>
    <row r="152" spans="2:7">
      <c r="B152" s="17" t="str">
        <f t="shared" si="17"/>
        <v>5/2024</v>
      </c>
      <c r="C152" s="18">
        <f t="shared" si="20"/>
        <v>45424</v>
      </c>
      <c r="D152" s="18" t="str">
        <f t="shared" si="21"/>
        <v>12/05/2024 a 18/05/2024</v>
      </c>
      <c r="E152" s="16">
        <f t="shared" si="16"/>
        <v>706</v>
      </c>
      <c r="F152" s="16">
        <f ca="1" t="shared" si="19"/>
        <v>0</v>
      </c>
      <c r="G152" s="16">
        <f ca="1" t="shared" si="18"/>
        <v>0</v>
      </c>
    </row>
    <row r="153" spans="2:7">
      <c r="B153" s="17" t="str">
        <f t="shared" si="17"/>
        <v>5/2024</v>
      </c>
      <c r="C153" s="18">
        <f t="shared" si="20"/>
        <v>45424</v>
      </c>
      <c r="D153" s="18" t="str">
        <f t="shared" si="21"/>
        <v>12/05/2024 a 18/05/2024</v>
      </c>
      <c r="E153" s="16">
        <f t="shared" si="16"/>
        <v>708</v>
      </c>
      <c r="F153" s="16">
        <f ca="1" t="shared" si="19"/>
        <v>0</v>
      </c>
      <c r="G153" s="16">
        <f ca="1" t="shared" si="18"/>
        <v>0</v>
      </c>
    </row>
    <row r="154" spans="2:7">
      <c r="B154" s="17" t="str">
        <f t="shared" si="17"/>
        <v>5/2024</v>
      </c>
      <c r="C154" s="18">
        <f t="shared" si="20"/>
        <v>45424</v>
      </c>
      <c r="D154" s="18" t="str">
        <f t="shared" si="21"/>
        <v>12/05/2024 a 18/05/2024</v>
      </c>
      <c r="E154" s="16">
        <f t="shared" si="16"/>
        <v>710</v>
      </c>
      <c r="F154" s="16">
        <f ca="1" t="shared" si="19"/>
        <v>0</v>
      </c>
      <c r="G154" s="16">
        <f ca="1" t="shared" si="18"/>
        <v>0</v>
      </c>
    </row>
    <row r="155" spans="2:7">
      <c r="B155" s="17" t="str">
        <f t="shared" si="17"/>
        <v>5/2024</v>
      </c>
      <c r="C155" s="18">
        <f t="shared" si="20"/>
        <v>45431</v>
      </c>
      <c r="D155" s="18" t="str">
        <f t="shared" si="21"/>
        <v>19/05/2024 a 25/05/2024</v>
      </c>
      <c r="E155" s="16">
        <f>E150+24</f>
        <v>726</v>
      </c>
      <c r="F155" s="16">
        <f ca="1" t="shared" si="19"/>
        <v>0</v>
      </c>
      <c r="G155" s="16">
        <f ca="1" t="shared" si="18"/>
        <v>0</v>
      </c>
    </row>
    <row r="156" spans="2:7">
      <c r="B156" s="17" t="str">
        <f t="shared" si="17"/>
        <v>5/2024</v>
      </c>
      <c r="C156" s="18">
        <f t="shared" si="20"/>
        <v>45431</v>
      </c>
      <c r="D156" s="18" t="str">
        <f t="shared" si="21"/>
        <v>19/05/2024 a 25/05/2024</v>
      </c>
      <c r="E156" s="16">
        <f t="shared" ref="E156:E219" si="22">E155+2</f>
        <v>728</v>
      </c>
      <c r="F156" s="16">
        <f ca="1" t="shared" si="19"/>
        <v>0</v>
      </c>
      <c r="G156" s="16">
        <f ca="1" t="shared" si="18"/>
        <v>0</v>
      </c>
    </row>
    <row r="157" spans="2:7">
      <c r="B157" s="17" t="str">
        <f t="shared" si="17"/>
        <v>5/2024</v>
      </c>
      <c r="C157" s="18">
        <f t="shared" si="20"/>
        <v>45431</v>
      </c>
      <c r="D157" s="18" t="str">
        <f t="shared" si="21"/>
        <v>19/05/2024 a 25/05/2024</v>
      </c>
      <c r="E157" s="16">
        <f t="shared" si="22"/>
        <v>730</v>
      </c>
      <c r="F157" s="16">
        <f ca="1" t="shared" si="19"/>
        <v>0</v>
      </c>
      <c r="G157" s="16">
        <f ca="1" t="shared" si="18"/>
        <v>0</v>
      </c>
    </row>
    <row r="158" spans="2:7">
      <c r="B158" s="17" t="str">
        <f t="shared" si="17"/>
        <v>5/2024</v>
      </c>
      <c r="C158" s="18">
        <f t="shared" si="20"/>
        <v>45431</v>
      </c>
      <c r="D158" s="18" t="str">
        <f t="shared" si="21"/>
        <v>19/05/2024 a 25/05/2024</v>
      </c>
      <c r="E158" s="16">
        <f t="shared" si="22"/>
        <v>732</v>
      </c>
      <c r="F158" s="16">
        <f ca="1" t="shared" si="19"/>
        <v>0</v>
      </c>
      <c r="G158" s="16">
        <f ca="1" t="shared" si="18"/>
        <v>0</v>
      </c>
    </row>
    <row r="159" spans="2:7">
      <c r="B159" s="17" t="str">
        <f t="shared" si="17"/>
        <v>5/2024</v>
      </c>
      <c r="C159" s="18">
        <f t="shared" si="20"/>
        <v>45431</v>
      </c>
      <c r="D159" s="18" t="str">
        <f t="shared" si="21"/>
        <v>19/05/2024 a 25/05/2024</v>
      </c>
      <c r="E159" s="16">
        <f t="shared" si="22"/>
        <v>734</v>
      </c>
      <c r="F159" s="16">
        <f ca="1" t="shared" si="19"/>
        <v>0</v>
      </c>
      <c r="G159" s="16">
        <f ca="1" t="shared" si="18"/>
        <v>0</v>
      </c>
    </row>
    <row r="160" spans="2:7">
      <c r="B160" s="17" t="str">
        <f t="shared" si="17"/>
        <v>5/2024</v>
      </c>
      <c r="C160" s="18">
        <f t="shared" si="20"/>
        <v>45438</v>
      </c>
      <c r="D160" s="18" t="str">
        <f t="shared" si="21"/>
        <v>26/05/2024 a 01/06/2024</v>
      </c>
      <c r="E160" s="16">
        <f>E155+24</f>
        <v>750</v>
      </c>
      <c r="F160" s="16">
        <f ca="1" t="shared" si="19"/>
        <v>0</v>
      </c>
      <c r="G160" s="16">
        <f ca="1" t="shared" si="18"/>
        <v>0</v>
      </c>
    </row>
    <row r="161" spans="2:7">
      <c r="B161" s="17" t="str">
        <f t="shared" si="17"/>
        <v>5/2024</v>
      </c>
      <c r="C161" s="18">
        <f t="shared" si="20"/>
        <v>45438</v>
      </c>
      <c r="D161" s="18" t="str">
        <f t="shared" si="21"/>
        <v>26/05/2024 a 01/06/2024</v>
      </c>
      <c r="E161" s="16">
        <f t="shared" si="22"/>
        <v>752</v>
      </c>
      <c r="F161" s="16">
        <f ca="1" t="shared" si="19"/>
        <v>0</v>
      </c>
      <c r="G161" s="16">
        <f ca="1" t="shared" si="18"/>
        <v>0</v>
      </c>
    </row>
    <row r="162" spans="2:7">
      <c r="B162" s="17" t="str">
        <f t="shared" si="17"/>
        <v>5/2024</v>
      </c>
      <c r="C162" s="18">
        <f t="shared" si="20"/>
        <v>45438</v>
      </c>
      <c r="D162" s="18" t="str">
        <f t="shared" si="21"/>
        <v>26/05/2024 a 01/06/2024</v>
      </c>
      <c r="E162" s="16">
        <f t="shared" si="22"/>
        <v>754</v>
      </c>
      <c r="F162" s="16">
        <f ca="1" t="shared" si="19"/>
        <v>0</v>
      </c>
      <c r="G162" s="16">
        <f ca="1" t="shared" si="18"/>
        <v>0</v>
      </c>
    </row>
    <row r="163" spans="2:7">
      <c r="B163" s="17" t="str">
        <f t="shared" si="17"/>
        <v>5/2024</v>
      </c>
      <c r="C163" s="18">
        <f t="shared" si="20"/>
        <v>45438</v>
      </c>
      <c r="D163" s="18" t="str">
        <f t="shared" si="21"/>
        <v>26/05/2024 a 01/06/2024</v>
      </c>
      <c r="E163" s="16">
        <f t="shared" si="22"/>
        <v>756</v>
      </c>
      <c r="F163" s="16">
        <f ca="1" t="shared" si="19"/>
        <v>0</v>
      </c>
      <c r="G163" s="16">
        <f ca="1" t="shared" si="18"/>
        <v>0</v>
      </c>
    </row>
    <row r="164" spans="2:7">
      <c r="B164" s="17" t="str">
        <f t="shared" si="17"/>
        <v>5/2024</v>
      </c>
      <c r="C164" s="18">
        <f t="shared" si="20"/>
        <v>45438</v>
      </c>
      <c r="D164" s="18" t="str">
        <f t="shared" si="21"/>
        <v>26/05/2024 a 01/06/2024</v>
      </c>
      <c r="E164" s="16">
        <f t="shared" si="22"/>
        <v>758</v>
      </c>
      <c r="F164" s="16">
        <f ca="1" t="shared" si="19"/>
        <v>0</v>
      </c>
      <c r="G164" s="16">
        <f ca="1" t="shared" si="18"/>
        <v>0</v>
      </c>
    </row>
    <row r="165" spans="2:7">
      <c r="B165" s="17" t="str">
        <f t="shared" si="17"/>
        <v>6/2024</v>
      </c>
      <c r="C165" s="18">
        <f t="shared" si="20"/>
        <v>45445</v>
      </c>
      <c r="D165" s="18" t="str">
        <f t="shared" si="21"/>
        <v>02/06/2024 a 08/06/2024</v>
      </c>
      <c r="E165" s="16">
        <f>E160+24</f>
        <v>774</v>
      </c>
      <c r="F165" s="16">
        <f ca="1" t="shared" si="19"/>
        <v>0</v>
      </c>
      <c r="G165" s="16">
        <f ca="1" t="shared" si="18"/>
        <v>0</v>
      </c>
    </row>
    <row r="166" spans="2:7">
      <c r="B166" s="17" t="str">
        <f t="shared" si="17"/>
        <v>6/2024</v>
      </c>
      <c r="C166" s="18">
        <f t="shared" si="20"/>
        <v>45445</v>
      </c>
      <c r="D166" s="18" t="str">
        <f t="shared" si="21"/>
        <v>02/06/2024 a 08/06/2024</v>
      </c>
      <c r="E166" s="16">
        <f t="shared" si="22"/>
        <v>776</v>
      </c>
      <c r="F166" s="16">
        <f ca="1" t="shared" si="19"/>
        <v>0</v>
      </c>
      <c r="G166" s="16">
        <f ca="1" t="shared" si="18"/>
        <v>0</v>
      </c>
    </row>
    <row r="167" spans="2:7">
      <c r="B167" s="17" t="str">
        <f t="shared" si="17"/>
        <v>6/2024</v>
      </c>
      <c r="C167" s="18">
        <f t="shared" si="20"/>
        <v>45445</v>
      </c>
      <c r="D167" s="18" t="str">
        <f t="shared" si="21"/>
        <v>02/06/2024 a 08/06/2024</v>
      </c>
      <c r="E167" s="16">
        <f t="shared" si="22"/>
        <v>778</v>
      </c>
      <c r="F167" s="16">
        <f ca="1" t="shared" si="19"/>
        <v>0</v>
      </c>
      <c r="G167" s="16">
        <f ca="1" t="shared" si="18"/>
        <v>0</v>
      </c>
    </row>
    <row r="168" spans="2:7">
      <c r="B168" s="17" t="str">
        <f t="shared" si="17"/>
        <v>6/2024</v>
      </c>
      <c r="C168" s="18">
        <f t="shared" si="20"/>
        <v>45445</v>
      </c>
      <c r="D168" s="18" t="str">
        <f t="shared" si="21"/>
        <v>02/06/2024 a 08/06/2024</v>
      </c>
      <c r="E168" s="16">
        <f t="shared" si="22"/>
        <v>780</v>
      </c>
      <c r="F168" s="16">
        <f ca="1" t="shared" si="19"/>
        <v>0</v>
      </c>
      <c r="G168" s="16">
        <f ca="1" t="shared" si="18"/>
        <v>0</v>
      </c>
    </row>
    <row r="169" spans="2:7">
      <c r="B169" s="17" t="str">
        <f t="shared" si="17"/>
        <v>6/2024</v>
      </c>
      <c r="C169" s="18">
        <f t="shared" si="20"/>
        <v>45445</v>
      </c>
      <c r="D169" s="18" t="str">
        <f t="shared" si="21"/>
        <v>02/06/2024 a 08/06/2024</v>
      </c>
      <c r="E169" s="16">
        <f t="shared" si="22"/>
        <v>782</v>
      </c>
      <c r="F169" s="16">
        <f ca="1" t="shared" si="19"/>
        <v>0</v>
      </c>
      <c r="G169" s="16">
        <f ca="1" t="shared" si="18"/>
        <v>0</v>
      </c>
    </row>
    <row r="170" spans="2:7">
      <c r="B170" s="17" t="str">
        <f t="shared" si="17"/>
        <v>6/2024</v>
      </c>
      <c r="C170" s="18">
        <f t="shared" si="20"/>
        <v>45452</v>
      </c>
      <c r="D170" s="18" t="str">
        <f t="shared" si="21"/>
        <v>09/06/2024 a 15/06/2024</v>
      </c>
      <c r="E170" s="16">
        <f>E165+24</f>
        <v>798</v>
      </c>
      <c r="F170" s="16">
        <f ca="1" t="shared" si="19"/>
        <v>0</v>
      </c>
      <c r="G170" s="16">
        <f ca="1" t="shared" si="18"/>
        <v>0</v>
      </c>
    </row>
    <row r="171" spans="2:7">
      <c r="B171" s="17" t="str">
        <f t="shared" si="17"/>
        <v>6/2024</v>
      </c>
      <c r="C171" s="18">
        <f t="shared" si="20"/>
        <v>45452</v>
      </c>
      <c r="D171" s="18" t="str">
        <f t="shared" si="21"/>
        <v>09/06/2024 a 15/06/2024</v>
      </c>
      <c r="E171" s="16">
        <f t="shared" si="22"/>
        <v>800</v>
      </c>
      <c r="F171" s="16">
        <f ca="1" t="shared" si="19"/>
        <v>0</v>
      </c>
      <c r="G171" s="16">
        <f ca="1" t="shared" si="18"/>
        <v>0</v>
      </c>
    </row>
    <row r="172" spans="2:7">
      <c r="B172" s="17" t="str">
        <f t="shared" si="17"/>
        <v>6/2024</v>
      </c>
      <c r="C172" s="18">
        <f t="shared" si="20"/>
        <v>45452</v>
      </c>
      <c r="D172" s="18" t="str">
        <f t="shared" si="21"/>
        <v>09/06/2024 a 15/06/2024</v>
      </c>
      <c r="E172" s="16">
        <f t="shared" si="22"/>
        <v>802</v>
      </c>
      <c r="F172" s="16">
        <f ca="1" t="shared" si="19"/>
        <v>0</v>
      </c>
      <c r="G172" s="16">
        <f ca="1" t="shared" si="18"/>
        <v>0</v>
      </c>
    </row>
    <row r="173" spans="2:7">
      <c r="B173" s="17" t="str">
        <f t="shared" si="17"/>
        <v>6/2024</v>
      </c>
      <c r="C173" s="18">
        <f t="shared" si="20"/>
        <v>45452</v>
      </c>
      <c r="D173" s="18" t="str">
        <f t="shared" si="21"/>
        <v>09/06/2024 a 15/06/2024</v>
      </c>
      <c r="E173" s="16">
        <f t="shared" si="22"/>
        <v>804</v>
      </c>
      <c r="F173" s="16">
        <f ca="1" t="shared" si="19"/>
        <v>0</v>
      </c>
      <c r="G173" s="16">
        <f ca="1" t="shared" si="18"/>
        <v>0</v>
      </c>
    </row>
    <row r="174" spans="2:7">
      <c r="B174" s="17" t="str">
        <f t="shared" si="17"/>
        <v>6/2024</v>
      </c>
      <c r="C174" s="18">
        <f t="shared" si="20"/>
        <v>45452</v>
      </c>
      <c r="D174" s="18" t="str">
        <f t="shared" si="21"/>
        <v>09/06/2024 a 15/06/2024</v>
      </c>
      <c r="E174" s="16">
        <f t="shared" si="22"/>
        <v>806</v>
      </c>
      <c r="F174" s="16">
        <f ca="1" t="shared" si="19"/>
        <v>0</v>
      </c>
      <c r="G174" s="16">
        <f ca="1" t="shared" si="18"/>
        <v>0</v>
      </c>
    </row>
    <row r="175" spans="2:7">
      <c r="B175" s="17" t="str">
        <f t="shared" si="17"/>
        <v>6/2024</v>
      </c>
      <c r="C175" s="18">
        <f t="shared" si="20"/>
        <v>45459</v>
      </c>
      <c r="D175" s="18" t="str">
        <f t="shared" si="21"/>
        <v>16/06/2024 a 22/06/2024</v>
      </c>
      <c r="E175" s="16">
        <f>E170+24</f>
        <v>822</v>
      </c>
      <c r="F175" s="16">
        <f ca="1" t="shared" si="19"/>
        <v>0</v>
      </c>
      <c r="G175" s="16">
        <f ca="1" t="shared" si="18"/>
        <v>0</v>
      </c>
    </row>
    <row r="176" spans="2:7">
      <c r="B176" s="17" t="str">
        <f t="shared" si="17"/>
        <v>6/2024</v>
      </c>
      <c r="C176" s="18">
        <f t="shared" si="20"/>
        <v>45459</v>
      </c>
      <c r="D176" s="18" t="str">
        <f t="shared" si="21"/>
        <v>16/06/2024 a 22/06/2024</v>
      </c>
      <c r="E176" s="16">
        <f t="shared" si="22"/>
        <v>824</v>
      </c>
      <c r="F176" s="16">
        <f ca="1" t="shared" si="19"/>
        <v>0</v>
      </c>
      <c r="G176" s="16">
        <f ca="1" t="shared" si="18"/>
        <v>0</v>
      </c>
    </row>
    <row r="177" spans="2:7">
      <c r="B177" s="17" t="str">
        <f t="shared" si="17"/>
        <v>6/2024</v>
      </c>
      <c r="C177" s="18">
        <f t="shared" si="20"/>
        <v>45459</v>
      </c>
      <c r="D177" s="18" t="str">
        <f t="shared" si="21"/>
        <v>16/06/2024 a 22/06/2024</v>
      </c>
      <c r="E177" s="16">
        <f t="shared" si="22"/>
        <v>826</v>
      </c>
      <c r="F177" s="16">
        <f ca="1" t="shared" si="19"/>
        <v>0</v>
      </c>
      <c r="G177" s="16">
        <f ca="1" t="shared" si="18"/>
        <v>0</v>
      </c>
    </row>
    <row r="178" spans="2:7">
      <c r="B178" s="17" t="str">
        <f t="shared" si="17"/>
        <v>6/2024</v>
      </c>
      <c r="C178" s="18">
        <f t="shared" si="20"/>
        <v>45459</v>
      </c>
      <c r="D178" s="18" t="str">
        <f t="shared" si="21"/>
        <v>16/06/2024 a 22/06/2024</v>
      </c>
      <c r="E178" s="16">
        <f t="shared" si="22"/>
        <v>828</v>
      </c>
      <c r="F178" s="16">
        <f ca="1" t="shared" si="19"/>
        <v>0</v>
      </c>
      <c r="G178" s="16">
        <f ca="1" t="shared" si="18"/>
        <v>0</v>
      </c>
    </row>
    <row r="179" spans="2:7">
      <c r="B179" s="17" t="str">
        <f t="shared" si="17"/>
        <v>6/2024</v>
      </c>
      <c r="C179" s="18">
        <f t="shared" si="20"/>
        <v>45459</v>
      </c>
      <c r="D179" s="18" t="str">
        <f t="shared" si="21"/>
        <v>16/06/2024 a 22/06/2024</v>
      </c>
      <c r="E179" s="16">
        <f t="shared" si="22"/>
        <v>830</v>
      </c>
      <c r="F179" s="16">
        <f ca="1" t="shared" si="19"/>
        <v>0</v>
      </c>
      <c r="G179" s="16">
        <f ca="1" t="shared" si="18"/>
        <v>0</v>
      </c>
    </row>
    <row r="180" spans="2:7">
      <c r="B180" s="17" t="str">
        <f t="shared" si="17"/>
        <v>6/2024</v>
      </c>
      <c r="C180" s="18">
        <f t="shared" si="20"/>
        <v>45466</v>
      </c>
      <c r="D180" s="18" t="str">
        <f t="shared" si="21"/>
        <v>23/06/2024 a 29/06/2024</v>
      </c>
      <c r="E180" s="16">
        <f>E175+24</f>
        <v>846</v>
      </c>
      <c r="F180" s="16">
        <f ca="1" t="shared" si="19"/>
        <v>0</v>
      </c>
      <c r="G180" s="16">
        <f ca="1" t="shared" si="18"/>
        <v>0</v>
      </c>
    </row>
    <row r="181" spans="2:7">
      <c r="B181" s="17" t="str">
        <f t="shared" si="17"/>
        <v>6/2024</v>
      </c>
      <c r="C181" s="18">
        <f t="shared" si="20"/>
        <v>45466</v>
      </c>
      <c r="D181" s="18" t="str">
        <f t="shared" si="21"/>
        <v>23/06/2024 a 29/06/2024</v>
      </c>
      <c r="E181" s="16">
        <f t="shared" si="22"/>
        <v>848</v>
      </c>
      <c r="F181" s="16">
        <f ca="1" t="shared" si="19"/>
        <v>0</v>
      </c>
      <c r="G181" s="16">
        <f ca="1" t="shared" si="18"/>
        <v>0</v>
      </c>
    </row>
    <row r="182" spans="2:7">
      <c r="B182" s="17" t="str">
        <f t="shared" si="17"/>
        <v>6/2024</v>
      </c>
      <c r="C182" s="18">
        <f t="shared" si="20"/>
        <v>45466</v>
      </c>
      <c r="D182" s="18" t="str">
        <f t="shared" si="21"/>
        <v>23/06/2024 a 29/06/2024</v>
      </c>
      <c r="E182" s="16">
        <f t="shared" si="22"/>
        <v>850</v>
      </c>
      <c r="F182" s="16">
        <f ca="1" t="shared" si="19"/>
        <v>0</v>
      </c>
      <c r="G182" s="16">
        <f ca="1" t="shared" si="18"/>
        <v>0</v>
      </c>
    </row>
    <row r="183" spans="2:7">
      <c r="B183" s="17" t="str">
        <f t="shared" si="17"/>
        <v>6/2024</v>
      </c>
      <c r="C183" s="18">
        <f t="shared" si="20"/>
        <v>45466</v>
      </c>
      <c r="D183" s="18" t="str">
        <f t="shared" si="21"/>
        <v>23/06/2024 a 29/06/2024</v>
      </c>
      <c r="E183" s="16">
        <f t="shared" si="22"/>
        <v>852</v>
      </c>
      <c r="F183" s="16">
        <f ca="1" t="shared" si="19"/>
        <v>0</v>
      </c>
      <c r="G183" s="16">
        <f ca="1" t="shared" si="18"/>
        <v>0</v>
      </c>
    </row>
    <row r="184" spans="2:7">
      <c r="B184" s="17" t="str">
        <f t="shared" si="17"/>
        <v>6/2024</v>
      </c>
      <c r="C184" s="18">
        <f t="shared" si="20"/>
        <v>45466</v>
      </c>
      <c r="D184" s="18" t="str">
        <f t="shared" si="21"/>
        <v>23/06/2024 a 29/06/2024</v>
      </c>
      <c r="E184" s="16">
        <f t="shared" si="22"/>
        <v>854</v>
      </c>
      <c r="F184" s="16">
        <f ca="1" t="shared" si="19"/>
        <v>0</v>
      </c>
      <c r="G184" s="16">
        <f ca="1" t="shared" si="18"/>
        <v>0</v>
      </c>
    </row>
    <row r="185" spans="2:7">
      <c r="B185" s="17" t="str">
        <f t="shared" ref="B185:B248" si="23">MONTH(C185)&amp;"/"&amp;YEAR(C185)</f>
        <v>6/2024</v>
      </c>
      <c r="C185" s="18">
        <f t="shared" si="20"/>
        <v>45473</v>
      </c>
      <c r="D185" s="18" t="str">
        <f t="shared" si="21"/>
        <v>30/06/2024 a 06/07/2024</v>
      </c>
      <c r="E185" s="16">
        <f>E180+24</f>
        <v>870</v>
      </c>
      <c r="F185" s="16">
        <f ca="1" t="shared" si="19"/>
        <v>0</v>
      </c>
      <c r="G185" s="16">
        <f ca="1" t="shared" ref="G185:G248" si="24">INDIRECT("'Diário'!J"&amp;E185)</f>
        <v>0</v>
      </c>
    </row>
    <row r="186" spans="2:7">
      <c r="B186" s="17" t="str">
        <f t="shared" si="23"/>
        <v>6/2024</v>
      </c>
      <c r="C186" s="18">
        <f t="shared" si="20"/>
        <v>45473</v>
      </c>
      <c r="D186" s="18" t="str">
        <f t="shared" si="21"/>
        <v>30/06/2024 a 06/07/2024</v>
      </c>
      <c r="E186" s="16">
        <f t="shared" si="22"/>
        <v>872</v>
      </c>
      <c r="F186" s="16">
        <f ca="1" t="shared" si="19"/>
        <v>0</v>
      </c>
      <c r="G186" s="16">
        <f ca="1" t="shared" si="24"/>
        <v>0</v>
      </c>
    </row>
    <row r="187" spans="2:7">
      <c r="B187" s="17" t="str">
        <f t="shared" si="23"/>
        <v>6/2024</v>
      </c>
      <c r="C187" s="18">
        <f t="shared" si="20"/>
        <v>45473</v>
      </c>
      <c r="D187" s="18" t="str">
        <f t="shared" si="21"/>
        <v>30/06/2024 a 06/07/2024</v>
      </c>
      <c r="E187" s="16">
        <f t="shared" si="22"/>
        <v>874</v>
      </c>
      <c r="F187" s="16">
        <f ca="1" t="shared" si="19"/>
        <v>0</v>
      </c>
      <c r="G187" s="16">
        <f ca="1" t="shared" si="24"/>
        <v>0</v>
      </c>
    </row>
    <row r="188" spans="2:7">
      <c r="B188" s="17" t="str">
        <f t="shared" si="23"/>
        <v>6/2024</v>
      </c>
      <c r="C188" s="18">
        <f t="shared" si="20"/>
        <v>45473</v>
      </c>
      <c r="D188" s="18" t="str">
        <f t="shared" si="21"/>
        <v>30/06/2024 a 06/07/2024</v>
      </c>
      <c r="E188" s="16">
        <f t="shared" si="22"/>
        <v>876</v>
      </c>
      <c r="F188" s="16">
        <f ca="1" t="shared" si="19"/>
        <v>0</v>
      </c>
      <c r="G188" s="16">
        <f ca="1" t="shared" si="24"/>
        <v>0</v>
      </c>
    </row>
    <row r="189" spans="2:7">
      <c r="B189" s="17" t="str">
        <f t="shared" si="23"/>
        <v>6/2024</v>
      </c>
      <c r="C189" s="18">
        <f t="shared" si="20"/>
        <v>45473</v>
      </c>
      <c r="D189" s="18" t="str">
        <f t="shared" si="21"/>
        <v>30/06/2024 a 06/07/2024</v>
      </c>
      <c r="E189" s="16">
        <f t="shared" si="22"/>
        <v>878</v>
      </c>
      <c r="F189" s="16">
        <f ca="1" t="shared" si="19"/>
        <v>0</v>
      </c>
      <c r="G189" s="16">
        <f ca="1" t="shared" si="24"/>
        <v>0</v>
      </c>
    </row>
    <row r="190" spans="2:7">
      <c r="B190" s="17" t="str">
        <f t="shared" si="23"/>
        <v>7/2024</v>
      </c>
      <c r="C190" s="18">
        <f t="shared" si="20"/>
        <v>45480</v>
      </c>
      <c r="D190" s="18" t="str">
        <f t="shared" si="21"/>
        <v>07/07/2024 a 13/07/2024</v>
      </c>
      <c r="E190" s="16">
        <f>E185+24</f>
        <v>894</v>
      </c>
      <c r="F190" s="16">
        <f ca="1" t="shared" ref="F190:F253" si="25">INDIRECT("Diário!I"&amp;E190)</f>
        <v>0</v>
      </c>
      <c r="G190" s="16">
        <f ca="1" t="shared" si="24"/>
        <v>0</v>
      </c>
    </row>
    <row r="191" spans="2:7">
      <c r="B191" s="17" t="str">
        <f t="shared" si="23"/>
        <v>7/2024</v>
      </c>
      <c r="C191" s="18">
        <f t="shared" si="20"/>
        <v>45480</v>
      </c>
      <c r="D191" s="18" t="str">
        <f t="shared" si="21"/>
        <v>07/07/2024 a 13/07/2024</v>
      </c>
      <c r="E191" s="16">
        <f t="shared" si="22"/>
        <v>896</v>
      </c>
      <c r="F191" s="16">
        <f ca="1" t="shared" si="25"/>
        <v>0</v>
      </c>
      <c r="G191" s="16">
        <f ca="1" t="shared" si="24"/>
        <v>0</v>
      </c>
    </row>
    <row r="192" spans="2:7">
      <c r="B192" s="17" t="str">
        <f t="shared" si="23"/>
        <v>7/2024</v>
      </c>
      <c r="C192" s="18">
        <f t="shared" si="20"/>
        <v>45480</v>
      </c>
      <c r="D192" s="18" t="str">
        <f t="shared" si="21"/>
        <v>07/07/2024 a 13/07/2024</v>
      </c>
      <c r="E192" s="16">
        <f t="shared" si="22"/>
        <v>898</v>
      </c>
      <c r="F192" s="16">
        <f ca="1" t="shared" si="25"/>
        <v>0</v>
      </c>
      <c r="G192" s="16">
        <f ca="1" t="shared" si="24"/>
        <v>0</v>
      </c>
    </row>
    <row r="193" spans="2:7">
      <c r="B193" s="17" t="str">
        <f t="shared" si="23"/>
        <v>7/2024</v>
      </c>
      <c r="C193" s="18">
        <f t="shared" si="20"/>
        <v>45480</v>
      </c>
      <c r="D193" s="18" t="str">
        <f t="shared" si="21"/>
        <v>07/07/2024 a 13/07/2024</v>
      </c>
      <c r="E193" s="16">
        <f t="shared" si="22"/>
        <v>900</v>
      </c>
      <c r="F193" s="16">
        <f ca="1" t="shared" si="25"/>
        <v>0</v>
      </c>
      <c r="G193" s="16">
        <f ca="1" t="shared" si="24"/>
        <v>0</v>
      </c>
    </row>
    <row r="194" spans="2:7">
      <c r="B194" s="17" t="str">
        <f t="shared" si="23"/>
        <v>7/2024</v>
      </c>
      <c r="C194" s="18">
        <f t="shared" si="20"/>
        <v>45480</v>
      </c>
      <c r="D194" s="18" t="str">
        <f t="shared" si="21"/>
        <v>07/07/2024 a 13/07/2024</v>
      </c>
      <c r="E194" s="16">
        <f t="shared" si="22"/>
        <v>902</v>
      </c>
      <c r="F194" s="16">
        <f ca="1" t="shared" si="25"/>
        <v>0</v>
      </c>
      <c r="G194" s="16">
        <f ca="1" t="shared" si="24"/>
        <v>0</v>
      </c>
    </row>
    <row r="195" spans="2:7">
      <c r="B195" s="17" t="str">
        <f t="shared" si="23"/>
        <v>7/2024</v>
      </c>
      <c r="C195" s="18">
        <f t="shared" si="20"/>
        <v>45487</v>
      </c>
      <c r="D195" s="18" t="str">
        <f t="shared" si="21"/>
        <v>14/07/2024 a 20/07/2024</v>
      </c>
      <c r="E195" s="16">
        <f>E190+24</f>
        <v>918</v>
      </c>
      <c r="F195" s="16">
        <f ca="1" t="shared" si="25"/>
        <v>0</v>
      </c>
      <c r="G195" s="16">
        <f ca="1" t="shared" si="24"/>
        <v>0</v>
      </c>
    </row>
    <row r="196" spans="2:7">
      <c r="B196" s="17" t="str">
        <f t="shared" si="23"/>
        <v>7/2024</v>
      </c>
      <c r="C196" s="18">
        <f t="shared" si="20"/>
        <v>45487</v>
      </c>
      <c r="D196" s="18" t="str">
        <f t="shared" si="21"/>
        <v>14/07/2024 a 20/07/2024</v>
      </c>
      <c r="E196" s="16">
        <f t="shared" si="22"/>
        <v>920</v>
      </c>
      <c r="F196" s="16">
        <f ca="1" t="shared" si="25"/>
        <v>0</v>
      </c>
      <c r="G196" s="16">
        <f ca="1" t="shared" si="24"/>
        <v>0</v>
      </c>
    </row>
    <row r="197" spans="2:7">
      <c r="B197" s="17" t="str">
        <f t="shared" si="23"/>
        <v>7/2024</v>
      </c>
      <c r="C197" s="18">
        <f t="shared" si="20"/>
        <v>45487</v>
      </c>
      <c r="D197" s="18" t="str">
        <f t="shared" si="21"/>
        <v>14/07/2024 a 20/07/2024</v>
      </c>
      <c r="E197" s="16">
        <f t="shared" si="22"/>
        <v>922</v>
      </c>
      <c r="F197" s="16">
        <f ca="1" t="shared" si="25"/>
        <v>0</v>
      </c>
      <c r="G197" s="16">
        <f ca="1" t="shared" si="24"/>
        <v>0</v>
      </c>
    </row>
    <row r="198" spans="2:7">
      <c r="B198" s="17" t="str">
        <f t="shared" si="23"/>
        <v>7/2024</v>
      </c>
      <c r="C198" s="18">
        <f t="shared" si="20"/>
        <v>45487</v>
      </c>
      <c r="D198" s="18" t="str">
        <f t="shared" si="21"/>
        <v>14/07/2024 a 20/07/2024</v>
      </c>
      <c r="E198" s="16">
        <f t="shared" si="22"/>
        <v>924</v>
      </c>
      <c r="F198" s="16">
        <f ca="1" t="shared" si="25"/>
        <v>0</v>
      </c>
      <c r="G198" s="16">
        <f ca="1" t="shared" si="24"/>
        <v>0</v>
      </c>
    </row>
    <row r="199" spans="2:7">
      <c r="B199" s="17" t="str">
        <f t="shared" si="23"/>
        <v>7/2024</v>
      </c>
      <c r="C199" s="18">
        <f t="shared" si="20"/>
        <v>45487</v>
      </c>
      <c r="D199" s="18" t="str">
        <f t="shared" si="21"/>
        <v>14/07/2024 a 20/07/2024</v>
      </c>
      <c r="E199" s="16">
        <f t="shared" si="22"/>
        <v>926</v>
      </c>
      <c r="F199" s="16">
        <f ca="1" t="shared" si="25"/>
        <v>0</v>
      </c>
      <c r="G199" s="16">
        <f ca="1" t="shared" si="24"/>
        <v>0</v>
      </c>
    </row>
    <row r="200" spans="2:7">
      <c r="B200" s="17" t="str">
        <f t="shared" si="23"/>
        <v>7/2024</v>
      </c>
      <c r="C200" s="18">
        <f t="shared" si="20"/>
        <v>45494</v>
      </c>
      <c r="D200" s="18" t="str">
        <f t="shared" si="21"/>
        <v>21/07/2024 a 27/07/2024</v>
      </c>
      <c r="E200" s="16">
        <f>E195+24</f>
        <v>942</v>
      </c>
      <c r="F200" s="16">
        <f ca="1" t="shared" si="25"/>
        <v>0</v>
      </c>
      <c r="G200" s="16">
        <f ca="1" t="shared" si="24"/>
        <v>0</v>
      </c>
    </row>
    <row r="201" spans="2:7">
      <c r="B201" s="17" t="str">
        <f t="shared" si="23"/>
        <v>7/2024</v>
      </c>
      <c r="C201" s="18">
        <f t="shared" si="20"/>
        <v>45494</v>
      </c>
      <c r="D201" s="18" t="str">
        <f t="shared" si="21"/>
        <v>21/07/2024 a 27/07/2024</v>
      </c>
      <c r="E201" s="16">
        <f t="shared" si="22"/>
        <v>944</v>
      </c>
      <c r="F201" s="16">
        <f ca="1" t="shared" si="25"/>
        <v>0</v>
      </c>
      <c r="G201" s="16">
        <f ca="1" t="shared" si="24"/>
        <v>0</v>
      </c>
    </row>
    <row r="202" spans="2:7">
      <c r="B202" s="17" t="str">
        <f t="shared" si="23"/>
        <v>7/2024</v>
      </c>
      <c r="C202" s="18">
        <f t="shared" si="20"/>
        <v>45494</v>
      </c>
      <c r="D202" s="18" t="str">
        <f t="shared" si="21"/>
        <v>21/07/2024 a 27/07/2024</v>
      </c>
      <c r="E202" s="16">
        <f t="shared" si="22"/>
        <v>946</v>
      </c>
      <c r="F202" s="16">
        <f ca="1" t="shared" si="25"/>
        <v>0</v>
      </c>
      <c r="G202" s="16">
        <f ca="1" t="shared" si="24"/>
        <v>0</v>
      </c>
    </row>
    <row r="203" spans="2:7">
      <c r="B203" s="17" t="str">
        <f t="shared" si="23"/>
        <v>7/2024</v>
      </c>
      <c r="C203" s="18">
        <f t="shared" si="20"/>
        <v>45494</v>
      </c>
      <c r="D203" s="18" t="str">
        <f t="shared" si="21"/>
        <v>21/07/2024 a 27/07/2024</v>
      </c>
      <c r="E203" s="16">
        <f t="shared" si="22"/>
        <v>948</v>
      </c>
      <c r="F203" s="16">
        <f ca="1" t="shared" si="25"/>
        <v>0</v>
      </c>
      <c r="G203" s="16">
        <f ca="1" t="shared" si="24"/>
        <v>0</v>
      </c>
    </row>
    <row r="204" spans="2:7">
      <c r="B204" s="17" t="str">
        <f t="shared" si="23"/>
        <v>7/2024</v>
      </c>
      <c r="C204" s="18">
        <f t="shared" si="20"/>
        <v>45494</v>
      </c>
      <c r="D204" s="18" t="str">
        <f t="shared" si="21"/>
        <v>21/07/2024 a 27/07/2024</v>
      </c>
      <c r="E204" s="16">
        <f t="shared" si="22"/>
        <v>950</v>
      </c>
      <c r="F204" s="16">
        <f ca="1" t="shared" si="25"/>
        <v>0</v>
      </c>
      <c r="G204" s="16">
        <f ca="1" t="shared" si="24"/>
        <v>0</v>
      </c>
    </row>
    <row r="205" spans="2:7">
      <c r="B205" s="17" t="str">
        <f t="shared" si="23"/>
        <v>7/2024</v>
      </c>
      <c r="C205" s="18">
        <f t="shared" si="20"/>
        <v>45501</v>
      </c>
      <c r="D205" s="18" t="str">
        <f t="shared" si="21"/>
        <v>28/07/2024 a 03/08/2024</v>
      </c>
      <c r="E205" s="16">
        <f>E200+24</f>
        <v>966</v>
      </c>
      <c r="F205" s="16">
        <f ca="1" t="shared" si="25"/>
        <v>0</v>
      </c>
      <c r="G205" s="16">
        <f ca="1" t="shared" si="24"/>
        <v>0</v>
      </c>
    </row>
    <row r="206" spans="2:7">
      <c r="B206" s="17" t="str">
        <f t="shared" si="23"/>
        <v>7/2024</v>
      </c>
      <c r="C206" s="18">
        <f t="shared" si="20"/>
        <v>45501</v>
      </c>
      <c r="D206" s="18" t="str">
        <f t="shared" si="21"/>
        <v>28/07/2024 a 03/08/2024</v>
      </c>
      <c r="E206" s="16">
        <f t="shared" si="22"/>
        <v>968</v>
      </c>
      <c r="F206" s="16">
        <f ca="1" t="shared" si="25"/>
        <v>0</v>
      </c>
      <c r="G206" s="16">
        <f ca="1" t="shared" si="24"/>
        <v>0</v>
      </c>
    </row>
    <row r="207" spans="2:7">
      <c r="B207" s="17" t="str">
        <f t="shared" si="23"/>
        <v>7/2024</v>
      </c>
      <c r="C207" s="18">
        <f t="shared" si="20"/>
        <v>45501</v>
      </c>
      <c r="D207" s="18" t="str">
        <f t="shared" si="21"/>
        <v>28/07/2024 a 03/08/2024</v>
      </c>
      <c r="E207" s="16">
        <f t="shared" si="22"/>
        <v>970</v>
      </c>
      <c r="F207" s="16">
        <f ca="1" t="shared" si="25"/>
        <v>0</v>
      </c>
      <c r="G207" s="16">
        <f ca="1" t="shared" si="24"/>
        <v>0</v>
      </c>
    </row>
    <row r="208" spans="2:7">
      <c r="B208" s="17" t="str">
        <f t="shared" si="23"/>
        <v>7/2024</v>
      </c>
      <c r="C208" s="18">
        <f t="shared" si="20"/>
        <v>45501</v>
      </c>
      <c r="D208" s="18" t="str">
        <f t="shared" si="21"/>
        <v>28/07/2024 a 03/08/2024</v>
      </c>
      <c r="E208" s="16">
        <f t="shared" si="22"/>
        <v>972</v>
      </c>
      <c r="F208" s="16">
        <f ca="1" t="shared" si="25"/>
        <v>0</v>
      </c>
      <c r="G208" s="16">
        <f ca="1" t="shared" si="24"/>
        <v>0</v>
      </c>
    </row>
    <row r="209" spans="2:7">
      <c r="B209" s="17" t="str">
        <f t="shared" si="23"/>
        <v>7/2024</v>
      </c>
      <c r="C209" s="18">
        <f t="shared" si="20"/>
        <v>45501</v>
      </c>
      <c r="D209" s="18" t="str">
        <f t="shared" si="21"/>
        <v>28/07/2024 a 03/08/2024</v>
      </c>
      <c r="E209" s="16">
        <f t="shared" si="22"/>
        <v>974</v>
      </c>
      <c r="F209" s="16">
        <f ca="1" t="shared" si="25"/>
        <v>0</v>
      </c>
      <c r="G209" s="16">
        <f ca="1" t="shared" si="24"/>
        <v>0</v>
      </c>
    </row>
    <row r="210" spans="2:7">
      <c r="B210" s="17" t="str">
        <f t="shared" si="23"/>
        <v>8/2024</v>
      </c>
      <c r="C210" s="18">
        <f t="shared" ref="C210:C273" si="26">C205+7</f>
        <v>45508</v>
      </c>
      <c r="D210" s="18" t="str">
        <f t="shared" si="21"/>
        <v>04/08/2024 a 10/08/2024</v>
      </c>
      <c r="E210" s="16">
        <f>E205+24</f>
        <v>990</v>
      </c>
      <c r="F210" s="16">
        <f ca="1" t="shared" si="25"/>
        <v>0</v>
      </c>
      <c r="G210" s="16">
        <f ca="1" t="shared" si="24"/>
        <v>0</v>
      </c>
    </row>
    <row r="211" spans="2:7">
      <c r="B211" s="17" t="str">
        <f t="shared" si="23"/>
        <v>8/2024</v>
      </c>
      <c r="C211" s="18">
        <f t="shared" si="26"/>
        <v>45508</v>
      </c>
      <c r="D211" s="18" t="str">
        <f t="shared" ref="D211:D274" si="27">TEXT((C211),"DD/MM/AAAA")&amp;" a "&amp;TEXT((C211+6),"DD/MM/AAAA")</f>
        <v>04/08/2024 a 10/08/2024</v>
      </c>
      <c r="E211" s="16">
        <f t="shared" si="22"/>
        <v>992</v>
      </c>
      <c r="F211" s="16">
        <f ca="1" t="shared" si="25"/>
        <v>0</v>
      </c>
      <c r="G211" s="16">
        <f ca="1" t="shared" si="24"/>
        <v>0</v>
      </c>
    </row>
    <row r="212" spans="2:7">
      <c r="B212" s="17" t="str">
        <f t="shared" si="23"/>
        <v>8/2024</v>
      </c>
      <c r="C212" s="18">
        <f t="shared" si="26"/>
        <v>45508</v>
      </c>
      <c r="D212" s="18" t="str">
        <f t="shared" si="27"/>
        <v>04/08/2024 a 10/08/2024</v>
      </c>
      <c r="E212" s="16">
        <f t="shared" si="22"/>
        <v>994</v>
      </c>
      <c r="F212" s="16">
        <f ca="1" t="shared" si="25"/>
        <v>0</v>
      </c>
      <c r="G212" s="16">
        <f ca="1" t="shared" si="24"/>
        <v>0</v>
      </c>
    </row>
    <row r="213" spans="2:7">
      <c r="B213" s="17" t="str">
        <f t="shared" si="23"/>
        <v>8/2024</v>
      </c>
      <c r="C213" s="18">
        <f t="shared" si="26"/>
        <v>45508</v>
      </c>
      <c r="D213" s="18" t="str">
        <f t="shared" si="27"/>
        <v>04/08/2024 a 10/08/2024</v>
      </c>
      <c r="E213" s="16">
        <f t="shared" si="22"/>
        <v>996</v>
      </c>
      <c r="F213" s="16">
        <f ca="1" t="shared" si="25"/>
        <v>0</v>
      </c>
      <c r="G213" s="16">
        <f ca="1" t="shared" si="24"/>
        <v>0</v>
      </c>
    </row>
    <row r="214" spans="2:7">
      <c r="B214" s="17" t="str">
        <f t="shared" si="23"/>
        <v>8/2024</v>
      </c>
      <c r="C214" s="18">
        <f t="shared" si="26"/>
        <v>45508</v>
      </c>
      <c r="D214" s="18" t="str">
        <f t="shared" si="27"/>
        <v>04/08/2024 a 10/08/2024</v>
      </c>
      <c r="E214" s="16">
        <f t="shared" si="22"/>
        <v>998</v>
      </c>
      <c r="F214" s="16">
        <f ca="1" t="shared" si="25"/>
        <v>0</v>
      </c>
      <c r="G214" s="16">
        <f ca="1" t="shared" si="24"/>
        <v>0</v>
      </c>
    </row>
    <row r="215" spans="2:7">
      <c r="B215" s="17" t="str">
        <f t="shared" si="23"/>
        <v>8/2024</v>
      </c>
      <c r="C215" s="18">
        <f t="shared" si="26"/>
        <v>45515</v>
      </c>
      <c r="D215" s="18" t="str">
        <f t="shared" si="27"/>
        <v>11/08/2024 a 17/08/2024</v>
      </c>
      <c r="E215" s="16">
        <f>E210+24</f>
        <v>1014</v>
      </c>
      <c r="F215" s="16">
        <f ca="1" t="shared" si="25"/>
        <v>0</v>
      </c>
      <c r="G215" s="16">
        <f ca="1" t="shared" si="24"/>
        <v>0</v>
      </c>
    </row>
    <row r="216" spans="2:7">
      <c r="B216" s="17" t="str">
        <f t="shared" si="23"/>
        <v>8/2024</v>
      </c>
      <c r="C216" s="18">
        <f t="shared" si="26"/>
        <v>45515</v>
      </c>
      <c r="D216" s="18" t="str">
        <f t="shared" si="27"/>
        <v>11/08/2024 a 17/08/2024</v>
      </c>
      <c r="E216" s="16">
        <f t="shared" si="22"/>
        <v>1016</v>
      </c>
      <c r="F216" s="16">
        <f ca="1" t="shared" si="25"/>
        <v>0</v>
      </c>
      <c r="G216" s="16">
        <f ca="1" t="shared" si="24"/>
        <v>0</v>
      </c>
    </row>
    <row r="217" spans="2:7">
      <c r="B217" s="17" t="str">
        <f t="shared" si="23"/>
        <v>8/2024</v>
      </c>
      <c r="C217" s="18">
        <f t="shared" si="26"/>
        <v>45515</v>
      </c>
      <c r="D217" s="18" t="str">
        <f t="shared" si="27"/>
        <v>11/08/2024 a 17/08/2024</v>
      </c>
      <c r="E217" s="16">
        <f t="shared" si="22"/>
        <v>1018</v>
      </c>
      <c r="F217" s="16">
        <f ca="1" t="shared" si="25"/>
        <v>0</v>
      </c>
      <c r="G217" s="16">
        <f ca="1" t="shared" si="24"/>
        <v>0</v>
      </c>
    </row>
    <row r="218" spans="2:7">
      <c r="B218" s="17" t="str">
        <f t="shared" si="23"/>
        <v>8/2024</v>
      </c>
      <c r="C218" s="18">
        <f t="shared" si="26"/>
        <v>45515</v>
      </c>
      <c r="D218" s="18" t="str">
        <f t="shared" si="27"/>
        <v>11/08/2024 a 17/08/2024</v>
      </c>
      <c r="E218" s="16">
        <f t="shared" si="22"/>
        <v>1020</v>
      </c>
      <c r="F218" s="16">
        <f ca="1" t="shared" si="25"/>
        <v>0</v>
      </c>
      <c r="G218" s="16">
        <f ca="1" t="shared" si="24"/>
        <v>0</v>
      </c>
    </row>
    <row r="219" spans="2:7">
      <c r="B219" s="17" t="str">
        <f t="shared" si="23"/>
        <v>8/2024</v>
      </c>
      <c r="C219" s="18">
        <f t="shared" si="26"/>
        <v>45515</v>
      </c>
      <c r="D219" s="18" t="str">
        <f t="shared" si="27"/>
        <v>11/08/2024 a 17/08/2024</v>
      </c>
      <c r="E219" s="16">
        <f t="shared" si="22"/>
        <v>1022</v>
      </c>
      <c r="F219" s="16">
        <f ca="1" t="shared" si="25"/>
        <v>0</v>
      </c>
      <c r="G219" s="16">
        <f ca="1" t="shared" si="24"/>
        <v>0</v>
      </c>
    </row>
    <row r="220" spans="2:7">
      <c r="B220" s="17" t="str">
        <f t="shared" si="23"/>
        <v>8/2024</v>
      </c>
      <c r="C220" s="18">
        <f t="shared" si="26"/>
        <v>45522</v>
      </c>
      <c r="D220" s="18" t="str">
        <f t="shared" si="27"/>
        <v>18/08/2024 a 24/08/2024</v>
      </c>
      <c r="E220" s="16">
        <f>E215+24</f>
        <v>1038</v>
      </c>
      <c r="F220" s="16">
        <f ca="1" t="shared" si="25"/>
        <v>0</v>
      </c>
      <c r="G220" s="16">
        <f ca="1" t="shared" si="24"/>
        <v>0</v>
      </c>
    </row>
    <row r="221" spans="2:7">
      <c r="B221" s="17" t="str">
        <f t="shared" si="23"/>
        <v>8/2024</v>
      </c>
      <c r="C221" s="18">
        <f t="shared" si="26"/>
        <v>45522</v>
      </c>
      <c r="D221" s="18" t="str">
        <f t="shared" si="27"/>
        <v>18/08/2024 a 24/08/2024</v>
      </c>
      <c r="E221" s="16">
        <f t="shared" ref="E221:E284" si="28">E220+2</f>
        <v>1040</v>
      </c>
      <c r="F221" s="16">
        <f ca="1" t="shared" si="25"/>
        <v>0</v>
      </c>
      <c r="G221" s="16">
        <f ca="1" t="shared" si="24"/>
        <v>0</v>
      </c>
    </row>
    <row r="222" spans="2:7">
      <c r="B222" s="17" t="str">
        <f t="shared" si="23"/>
        <v>8/2024</v>
      </c>
      <c r="C222" s="18">
        <f t="shared" si="26"/>
        <v>45522</v>
      </c>
      <c r="D222" s="18" t="str">
        <f t="shared" si="27"/>
        <v>18/08/2024 a 24/08/2024</v>
      </c>
      <c r="E222" s="16">
        <f t="shared" si="28"/>
        <v>1042</v>
      </c>
      <c r="F222" s="16">
        <f ca="1" t="shared" si="25"/>
        <v>0</v>
      </c>
      <c r="G222" s="16">
        <f ca="1" t="shared" si="24"/>
        <v>0</v>
      </c>
    </row>
    <row r="223" spans="2:7">
      <c r="B223" s="17" t="str">
        <f t="shared" si="23"/>
        <v>8/2024</v>
      </c>
      <c r="C223" s="18">
        <f t="shared" si="26"/>
        <v>45522</v>
      </c>
      <c r="D223" s="18" t="str">
        <f t="shared" si="27"/>
        <v>18/08/2024 a 24/08/2024</v>
      </c>
      <c r="E223" s="16">
        <f t="shared" si="28"/>
        <v>1044</v>
      </c>
      <c r="F223" s="16">
        <f ca="1" t="shared" si="25"/>
        <v>0</v>
      </c>
      <c r="G223" s="16">
        <f ca="1" t="shared" si="24"/>
        <v>0</v>
      </c>
    </row>
    <row r="224" spans="2:7">
      <c r="B224" s="17" t="str">
        <f t="shared" si="23"/>
        <v>8/2024</v>
      </c>
      <c r="C224" s="18">
        <f t="shared" si="26"/>
        <v>45522</v>
      </c>
      <c r="D224" s="18" t="str">
        <f t="shared" si="27"/>
        <v>18/08/2024 a 24/08/2024</v>
      </c>
      <c r="E224" s="16">
        <f t="shared" si="28"/>
        <v>1046</v>
      </c>
      <c r="F224" s="16">
        <f ca="1" t="shared" si="25"/>
        <v>0</v>
      </c>
      <c r="G224" s="16">
        <f ca="1" t="shared" si="24"/>
        <v>0</v>
      </c>
    </row>
    <row r="225" spans="2:7">
      <c r="B225" s="17" t="str">
        <f t="shared" si="23"/>
        <v>8/2024</v>
      </c>
      <c r="C225" s="18">
        <f t="shared" si="26"/>
        <v>45529</v>
      </c>
      <c r="D225" s="18" t="str">
        <f t="shared" si="27"/>
        <v>25/08/2024 a 31/08/2024</v>
      </c>
      <c r="E225" s="16">
        <f>E220+24</f>
        <v>1062</v>
      </c>
      <c r="F225" s="16">
        <f ca="1" t="shared" si="25"/>
        <v>0</v>
      </c>
      <c r="G225" s="16">
        <f ca="1" t="shared" si="24"/>
        <v>0</v>
      </c>
    </row>
    <row r="226" spans="2:7">
      <c r="B226" s="17" t="str">
        <f t="shared" si="23"/>
        <v>8/2024</v>
      </c>
      <c r="C226" s="18">
        <f t="shared" si="26"/>
        <v>45529</v>
      </c>
      <c r="D226" s="18" t="str">
        <f t="shared" si="27"/>
        <v>25/08/2024 a 31/08/2024</v>
      </c>
      <c r="E226" s="16">
        <f t="shared" si="28"/>
        <v>1064</v>
      </c>
      <c r="F226" s="16">
        <f ca="1" t="shared" si="25"/>
        <v>0</v>
      </c>
      <c r="G226" s="16">
        <f ca="1" t="shared" si="24"/>
        <v>0</v>
      </c>
    </row>
    <row r="227" spans="2:7">
      <c r="B227" s="17" t="str">
        <f t="shared" si="23"/>
        <v>8/2024</v>
      </c>
      <c r="C227" s="18">
        <f t="shared" si="26"/>
        <v>45529</v>
      </c>
      <c r="D227" s="18" t="str">
        <f t="shared" si="27"/>
        <v>25/08/2024 a 31/08/2024</v>
      </c>
      <c r="E227" s="16">
        <f t="shared" si="28"/>
        <v>1066</v>
      </c>
      <c r="F227" s="16">
        <f ca="1" t="shared" si="25"/>
        <v>0</v>
      </c>
      <c r="G227" s="16">
        <f ca="1" t="shared" si="24"/>
        <v>0</v>
      </c>
    </row>
    <row r="228" spans="2:7">
      <c r="B228" s="17" t="str">
        <f t="shared" si="23"/>
        <v>8/2024</v>
      </c>
      <c r="C228" s="18">
        <f t="shared" si="26"/>
        <v>45529</v>
      </c>
      <c r="D228" s="18" t="str">
        <f t="shared" si="27"/>
        <v>25/08/2024 a 31/08/2024</v>
      </c>
      <c r="E228" s="16">
        <f t="shared" si="28"/>
        <v>1068</v>
      </c>
      <c r="F228" s="16">
        <f ca="1" t="shared" si="25"/>
        <v>0</v>
      </c>
      <c r="G228" s="16">
        <f ca="1" t="shared" si="24"/>
        <v>0</v>
      </c>
    </row>
    <row r="229" spans="2:7">
      <c r="B229" s="17" t="str">
        <f t="shared" si="23"/>
        <v>8/2024</v>
      </c>
      <c r="C229" s="18">
        <f t="shared" si="26"/>
        <v>45529</v>
      </c>
      <c r="D229" s="18" t="str">
        <f t="shared" si="27"/>
        <v>25/08/2024 a 31/08/2024</v>
      </c>
      <c r="E229" s="16">
        <f t="shared" si="28"/>
        <v>1070</v>
      </c>
      <c r="F229" s="16">
        <f ca="1" t="shared" si="25"/>
        <v>0</v>
      </c>
      <c r="G229" s="16">
        <f ca="1" t="shared" si="24"/>
        <v>0</v>
      </c>
    </row>
    <row r="230" spans="2:7">
      <c r="B230" s="17" t="str">
        <f t="shared" si="23"/>
        <v>9/2024</v>
      </c>
      <c r="C230" s="18">
        <f t="shared" si="26"/>
        <v>45536</v>
      </c>
      <c r="D230" s="18" t="str">
        <f t="shared" si="27"/>
        <v>01/09/2024 a 07/09/2024</v>
      </c>
      <c r="E230" s="16">
        <f>E225+24</f>
        <v>1086</v>
      </c>
      <c r="F230" s="16">
        <f ca="1" t="shared" si="25"/>
        <v>0</v>
      </c>
      <c r="G230" s="16">
        <f ca="1" t="shared" si="24"/>
        <v>0</v>
      </c>
    </row>
    <row r="231" spans="2:7">
      <c r="B231" s="17" t="str">
        <f t="shared" si="23"/>
        <v>9/2024</v>
      </c>
      <c r="C231" s="18">
        <f t="shared" si="26"/>
        <v>45536</v>
      </c>
      <c r="D231" s="18" t="str">
        <f t="shared" si="27"/>
        <v>01/09/2024 a 07/09/2024</v>
      </c>
      <c r="E231" s="16">
        <f t="shared" si="28"/>
        <v>1088</v>
      </c>
      <c r="F231" s="16">
        <f ca="1" t="shared" si="25"/>
        <v>0</v>
      </c>
      <c r="G231" s="16">
        <f ca="1" t="shared" si="24"/>
        <v>0</v>
      </c>
    </row>
    <row r="232" spans="2:7">
      <c r="B232" s="17" t="str">
        <f t="shared" si="23"/>
        <v>9/2024</v>
      </c>
      <c r="C232" s="18">
        <f t="shared" si="26"/>
        <v>45536</v>
      </c>
      <c r="D232" s="18" t="str">
        <f t="shared" si="27"/>
        <v>01/09/2024 a 07/09/2024</v>
      </c>
      <c r="E232" s="16">
        <f t="shared" si="28"/>
        <v>1090</v>
      </c>
      <c r="F232" s="16">
        <f ca="1" t="shared" si="25"/>
        <v>0</v>
      </c>
      <c r="G232" s="16">
        <f ca="1" t="shared" si="24"/>
        <v>0</v>
      </c>
    </row>
    <row r="233" spans="2:7">
      <c r="B233" s="17" t="str">
        <f t="shared" si="23"/>
        <v>9/2024</v>
      </c>
      <c r="C233" s="18">
        <f t="shared" si="26"/>
        <v>45536</v>
      </c>
      <c r="D233" s="18" t="str">
        <f t="shared" si="27"/>
        <v>01/09/2024 a 07/09/2024</v>
      </c>
      <c r="E233" s="16">
        <f t="shared" si="28"/>
        <v>1092</v>
      </c>
      <c r="F233" s="16">
        <f ca="1" t="shared" si="25"/>
        <v>0</v>
      </c>
      <c r="G233" s="16">
        <f ca="1" t="shared" si="24"/>
        <v>0</v>
      </c>
    </row>
    <row r="234" spans="2:7">
      <c r="B234" s="17" t="str">
        <f t="shared" si="23"/>
        <v>9/2024</v>
      </c>
      <c r="C234" s="18">
        <f t="shared" si="26"/>
        <v>45536</v>
      </c>
      <c r="D234" s="18" t="str">
        <f t="shared" si="27"/>
        <v>01/09/2024 a 07/09/2024</v>
      </c>
      <c r="E234" s="16">
        <f t="shared" si="28"/>
        <v>1094</v>
      </c>
      <c r="F234" s="16">
        <f ca="1" t="shared" si="25"/>
        <v>0</v>
      </c>
      <c r="G234" s="16">
        <f ca="1" t="shared" si="24"/>
        <v>0</v>
      </c>
    </row>
    <row r="235" spans="2:7">
      <c r="B235" s="17" t="str">
        <f t="shared" si="23"/>
        <v>9/2024</v>
      </c>
      <c r="C235" s="18">
        <f t="shared" si="26"/>
        <v>45543</v>
      </c>
      <c r="D235" s="18" t="str">
        <f t="shared" si="27"/>
        <v>08/09/2024 a 14/09/2024</v>
      </c>
      <c r="E235" s="16">
        <f>E230+24</f>
        <v>1110</v>
      </c>
      <c r="F235" s="16">
        <f ca="1" t="shared" si="25"/>
        <v>0</v>
      </c>
      <c r="G235" s="16">
        <f ca="1" t="shared" si="24"/>
        <v>0</v>
      </c>
    </row>
    <row r="236" spans="2:7">
      <c r="B236" s="17" t="str">
        <f t="shared" si="23"/>
        <v>9/2024</v>
      </c>
      <c r="C236" s="18">
        <f t="shared" si="26"/>
        <v>45543</v>
      </c>
      <c r="D236" s="18" t="str">
        <f t="shared" si="27"/>
        <v>08/09/2024 a 14/09/2024</v>
      </c>
      <c r="E236" s="16">
        <f t="shared" si="28"/>
        <v>1112</v>
      </c>
      <c r="F236" s="16">
        <f ca="1" t="shared" si="25"/>
        <v>0</v>
      </c>
      <c r="G236" s="16">
        <f ca="1" t="shared" si="24"/>
        <v>0</v>
      </c>
    </row>
    <row r="237" spans="2:7">
      <c r="B237" s="17" t="str">
        <f t="shared" si="23"/>
        <v>9/2024</v>
      </c>
      <c r="C237" s="18">
        <f t="shared" si="26"/>
        <v>45543</v>
      </c>
      <c r="D237" s="18" t="str">
        <f t="shared" si="27"/>
        <v>08/09/2024 a 14/09/2024</v>
      </c>
      <c r="E237" s="16">
        <f t="shared" si="28"/>
        <v>1114</v>
      </c>
      <c r="F237" s="16">
        <f ca="1" t="shared" si="25"/>
        <v>0</v>
      </c>
      <c r="G237" s="16">
        <f ca="1" t="shared" si="24"/>
        <v>0</v>
      </c>
    </row>
    <row r="238" spans="2:7">
      <c r="B238" s="17" t="str">
        <f t="shared" si="23"/>
        <v>9/2024</v>
      </c>
      <c r="C238" s="18">
        <f t="shared" si="26"/>
        <v>45543</v>
      </c>
      <c r="D238" s="18" t="str">
        <f t="shared" si="27"/>
        <v>08/09/2024 a 14/09/2024</v>
      </c>
      <c r="E238" s="16">
        <f t="shared" si="28"/>
        <v>1116</v>
      </c>
      <c r="F238" s="16">
        <f ca="1" t="shared" si="25"/>
        <v>0</v>
      </c>
      <c r="G238" s="16">
        <f ca="1" t="shared" si="24"/>
        <v>0</v>
      </c>
    </row>
    <row r="239" spans="2:7">
      <c r="B239" s="17" t="str">
        <f t="shared" si="23"/>
        <v>9/2024</v>
      </c>
      <c r="C239" s="18">
        <f t="shared" si="26"/>
        <v>45543</v>
      </c>
      <c r="D239" s="18" t="str">
        <f t="shared" si="27"/>
        <v>08/09/2024 a 14/09/2024</v>
      </c>
      <c r="E239" s="16">
        <f t="shared" si="28"/>
        <v>1118</v>
      </c>
      <c r="F239" s="16">
        <f ca="1" t="shared" si="25"/>
        <v>0</v>
      </c>
      <c r="G239" s="16">
        <f ca="1" t="shared" si="24"/>
        <v>0</v>
      </c>
    </row>
    <row r="240" spans="2:7">
      <c r="B240" s="17" t="str">
        <f t="shared" si="23"/>
        <v>9/2024</v>
      </c>
      <c r="C240" s="18">
        <f t="shared" si="26"/>
        <v>45550</v>
      </c>
      <c r="D240" s="18" t="str">
        <f t="shared" si="27"/>
        <v>15/09/2024 a 21/09/2024</v>
      </c>
      <c r="E240" s="16">
        <f>E235+24</f>
        <v>1134</v>
      </c>
      <c r="F240" s="16">
        <f ca="1" t="shared" si="25"/>
        <v>0</v>
      </c>
      <c r="G240" s="16">
        <f ca="1" t="shared" si="24"/>
        <v>0</v>
      </c>
    </row>
    <row r="241" spans="2:7">
      <c r="B241" s="17" t="str">
        <f t="shared" si="23"/>
        <v>9/2024</v>
      </c>
      <c r="C241" s="18">
        <f t="shared" si="26"/>
        <v>45550</v>
      </c>
      <c r="D241" s="18" t="str">
        <f t="shared" si="27"/>
        <v>15/09/2024 a 21/09/2024</v>
      </c>
      <c r="E241" s="16">
        <f t="shared" si="28"/>
        <v>1136</v>
      </c>
      <c r="F241" s="16">
        <f ca="1" t="shared" si="25"/>
        <v>0</v>
      </c>
      <c r="G241" s="16">
        <f ca="1" t="shared" si="24"/>
        <v>0</v>
      </c>
    </row>
    <row r="242" spans="2:7">
      <c r="B242" s="17" t="str">
        <f t="shared" si="23"/>
        <v>9/2024</v>
      </c>
      <c r="C242" s="18">
        <f t="shared" si="26"/>
        <v>45550</v>
      </c>
      <c r="D242" s="18" t="str">
        <f t="shared" si="27"/>
        <v>15/09/2024 a 21/09/2024</v>
      </c>
      <c r="E242" s="16">
        <f t="shared" si="28"/>
        <v>1138</v>
      </c>
      <c r="F242" s="16">
        <f ca="1" t="shared" si="25"/>
        <v>0</v>
      </c>
      <c r="G242" s="16">
        <f ca="1" t="shared" si="24"/>
        <v>0</v>
      </c>
    </row>
    <row r="243" spans="2:7">
      <c r="B243" s="17" t="str">
        <f t="shared" si="23"/>
        <v>9/2024</v>
      </c>
      <c r="C243" s="18">
        <f t="shared" si="26"/>
        <v>45550</v>
      </c>
      <c r="D243" s="18" t="str">
        <f t="shared" si="27"/>
        <v>15/09/2024 a 21/09/2024</v>
      </c>
      <c r="E243" s="16">
        <f t="shared" si="28"/>
        <v>1140</v>
      </c>
      <c r="F243" s="16">
        <f ca="1" t="shared" si="25"/>
        <v>0</v>
      </c>
      <c r="G243" s="16">
        <f ca="1" t="shared" si="24"/>
        <v>0</v>
      </c>
    </row>
    <row r="244" spans="2:7">
      <c r="B244" s="17" t="str">
        <f t="shared" si="23"/>
        <v>9/2024</v>
      </c>
      <c r="C244" s="18">
        <f t="shared" si="26"/>
        <v>45550</v>
      </c>
      <c r="D244" s="18" t="str">
        <f t="shared" si="27"/>
        <v>15/09/2024 a 21/09/2024</v>
      </c>
      <c r="E244" s="16">
        <f t="shared" si="28"/>
        <v>1142</v>
      </c>
      <c r="F244" s="16">
        <f ca="1" t="shared" si="25"/>
        <v>0</v>
      </c>
      <c r="G244" s="16">
        <f ca="1" t="shared" si="24"/>
        <v>0</v>
      </c>
    </row>
    <row r="245" spans="2:7">
      <c r="B245" s="17" t="str">
        <f t="shared" si="23"/>
        <v>9/2024</v>
      </c>
      <c r="C245" s="18">
        <f t="shared" si="26"/>
        <v>45557</v>
      </c>
      <c r="D245" s="18" t="str">
        <f t="shared" si="27"/>
        <v>22/09/2024 a 28/09/2024</v>
      </c>
      <c r="E245" s="16">
        <f>E240+24</f>
        <v>1158</v>
      </c>
      <c r="F245" s="16">
        <f ca="1" t="shared" si="25"/>
        <v>0</v>
      </c>
      <c r="G245" s="16">
        <f ca="1" t="shared" si="24"/>
        <v>0</v>
      </c>
    </row>
    <row r="246" spans="2:7">
      <c r="B246" s="17" t="str">
        <f t="shared" si="23"/>
        <v>9/2024</v>
      </c>
      <c r="C246" s="18">
        <f t="shared" si="26"/>
        <v>45557</v>
      </c>
      <c r="D246" s="18" t="str">
        <f t="shared" si="27"/>
        <v>22/09/2024 a 28/09/2024</v>
      </c>
      <c r="E246" s="16">
        <f t="shared" si="28"/>
        <v>1160</v>
      </c>
      <c r="F246" s="16">
        <f ca="1" t="shared" si="25"/>
        <v>0</v>
      </c>
      <c r="G246" s="16">
        <f ca="1" t="shared" si="24"/>
        <v>0</v>
      </c>
    </row>
    <row r="247" spans="2:7">
      <c r="B247" s="17" t="str">
        <f t="shared" si="23"/>
        <v>9/2024</v>
      </c>
      <c r="C247" s="18">
        <f t="shared" si="26"/>
        <v>45557</v>
      </c>
      <c r="D247" s="18" t="str">
        <f t="shared" si="27"/>
        <v>22/09/2024 a 28/09/2024</v>
      </c>
      <c r="E247" s="16">
        <f t="shared" si="28"/>
        <v>1162</v>
      </c>
      <c r="F247" s="16">
        <f ca="1" t="shared" si="25"/>
        <v>0</v>
      </c>
      <c r="G247" s="16">
        <f ca="1" t="shared" si="24"/>
        <v>0</v>
      </c>
    </row>
    <row r="248" spans="2:7">
      <c r="B248" s="17" t="str">
        <f t="shared" si="23"/>
        <v>9/2024</v>
      </c>
      <c r="C248" s="18">
        <f t="shared" si="26"/>
        <v>45557</v>
      </c>
      <c r="D248" s="18" t="str">
        <f t="shared" si="27"/>
        <v>22/09/2024 a 28/09/2024</v>
      </c>
      <c r="E248" s="16">
        <f t="shared" si="28"/>
        <v>1164</v>
      </c>
      <c r="F248" s="16">
        <f ca="1" t="shared" si="25"/>
        <v>0</v>
      </c>
      <c r="G248" s="16">
        <f ca="1" t="shared" si="24"/>
        <v>0</v>
      </c>
    </row>
    <row r="249" spans="2:7">
      <c r="B249" s="17" t="str">
        <f t="shared" ref="B249:B312" si="29">MONTH(C249)&amp;"/"&amp;YEAR(C249)</f>
        <v>9/2024</v>
      </c>
      <c r="C249" s="18">
        <f t="shared" si="26"/>
        <v>45557</v>
      </c>
      <c r="D249" s="18" t="str">
        <f t="shared" si="27"/>
        <v>22/09/2024 a 28/09/2024</v>
      </c>
      <c r="E249" s="16">
        <f t="shared" si="28"/>
        <v>1166</v>
      </c>
      <c r="F249" s="16">
        <f ca="1" t="shared" si="25"/>
        <v>0</v>
      </c>
      <c r="G249" s="16">
        <f ca="1" t="shared" ref="G249:G312" si="30">INDIRECT("'Diário'!J"&amp;E249)</f>
        <v>0</v>
      </c>
    </row>
    <row r="250" spans="2:7">
      <c r="B250" s="17" t="str">
        <f t="shared" si="29"/>
        <v>9/2024</v>
      </c>
      <c r="C250" s="18">
        <f t="shared" si="26"/>
        <v>45564</v>
      </c>
      <c r="D250" s="18" t="str">
        <f t="shared" si="27"/>
        <v>29/09/2024 a 05/10/2024</v>
      </c>
      <c r="E250" s="16">
        <f>E245+24</f>
        <v>1182</v>
      </c>
      <c r="F250" s="16">
        <f ca="1" t="shared" si="25"/>
        <v>0</v>
      </c>
      <c r="G250" s="16">
        <f ca="1" t="shared" si="30"/>
        <v>0</v>
      </c>
    </row>
    <row r="251" spans="2:7">
      <c r="B251" s="17" t="str">
        <f t="shared" si="29"/>
        <v>9/2024</v>
      </c>
      <c r="C251" s="18">
        <f t="shared" si="26"/>
        <v>45564</v>
      </c>
      <c r="D251" s="18" t="str">
        <f t="shared" si="27"/>
        <v>29/09/2024 a 05/10/2024</v>
      </c>
      <c r="E251" s="16">
        <f t="shared" si="28"/>
        <v>1184</v>
      </c>
      <c r="F251" s="16">
        <f ca="1" t="shared" si="25"/>
        <v>0</v>
      </c>
      <c r="G251" s="16">
        <f ca="1" t="shared" si="30"/>
        <v>0</v>
      </c>
    </row>
    <row r="252" spans="2:7">
      <c r="B252" s="17" t="str">
        <f t="shared" si="29"/>
        <v>9/2024</v>
      </c>
      <c r="C252" s="18">
        <f t="shared" si="26"/>
        <v>45564</v>
      </c>
      <c r="D252" s="18" t="str">
        <f t="shared" si="27"/>
        <v>29/09/2024 a 05/10/2024</v>
      </c>
      <c r="E252" s="16">
        <f t="shared" si="28"/>
        <v>1186</v>
      </c>
      <c r="F252" s="16">
        <f ca="1" t="shared" si="25"/>
        <v>0</v>
      </c>
      <c r="G252" s="16">
        <f ca="1" t="shared" si="30"/>
        <v>0</v>
      </c>
    </row>
    <row r="253" spans="2:7">
      <c r="B253" s="17" t="str">
        <f t="shared" si="29"/>
        <v>9/2024</v>
      </c>
      <c r="C253" s="18">
        <f t="shared" si="26"/>
        <v>45564</v>
      </c>
      <c r="D253" s="18" t="str">
        <f t="shared" si="27"/>
        <v>29/09/2024 a 05/10/2024</v>
      </c>
      <c r="E253" s="16">
        <f t="shared" si="28"/>
        <v>1188</v>
      </c>
      <c r="F253" s="16">
        <f ca="1" t="shared" si="25"/>
        <v>0</v>
      </c>
      <c r="G253" s="16">
        <f ca="1" t="shared" si="30"/>
        <v>0</v>
      </c>
    </row>
    <row r="254" spans="2:7">
      <c r="B254" s="17" t="str">
        <f t="shared" si="29"/>
        <v>9/2024</v>
      </c>
      <c r="C254" s="18">
        <f t="shared" si="26"/>
        <v>45564</v>
      </c>
      <c r="D254" s="18" t="str">
        <f t="shared" si="27"/>
        <v>29/09/2024 a 05/10/2024</v>
      </c>
      <c r="E254" s="16">
        <f t="shared" si="28"/>
        <v>1190</v>
      </c>
      <c r="F254" s="16">
        <f ca="1" t="shared" ref="F254:F317" si="31">INDIRECT("Diário!I"&amp;E254)</f>
        <v>0</v>
      </c>
      <c r="G254" s="16">
        <f ca="1" t="shared" si="30"/>
        <v>0</v>
      </c>
    </row>
    <row r="255" spans="2:7">
      <c r="B255" s="17" t="str">
        <f t="shared" si="29"/>
        <v>10/2024</v>
      </c>
      <c r="C255" s="18">
        <f t="shared" si="26"/>
        <v>45571</v>
      </c>
      <c r="D255" s="18" t="str">
        <f t="shared" si="27"/>
        <v>06/10/2024 a 12/10/2024</v>
      </c>
      <c r="E255" s="16">
        <f>E250+24</f>
        <v>1206</v>
      </c>
      <c r="F255" s="16">
        <f ca="1" t="shared" si="31"/>
        <v>0</v>
      </c>
      <c r="G255" s="16">
        <f ca="1" t="shared" si="30"/>
        <v>0</v>
      </c>
    </row>
    <row r="256" spans="2:7">
      <c r="B256" s="17" t="str">
        <f t="shared" si="29"/>
        <v>10/2024</v>
      </c>
      <c r="C256" s="18">
        <f t="shared" si="26"/>
        <v>45571</v>
      </c>
      <c r="D256" s="18" t="str">
        <f t="shared" si="27"/>
        <v>06/10/2024 a 12/10/2024</v>
      </c>
      <c r="E256" s="16">
        <f t="shared" si="28"/>
        <v>1208</v>
      </c>
      <c r="F256" s="16">
        <f ca="1" t="shared" si="31"/>
        <v>0</v>
      </c>
      <c r="G256" s="16">
        <f ca="1" t="shared" si="30"/>
        <v>0</v>
      </c>
    </row>
    <row r="257" spans="2:7">
      <c r="B257" s="17" t="str">
        <f t="shared" si="29"/>
        <v>10/2024</v>
      </c>
      <c r="C257" s="18">
        <f t="shared" si="26"/>
        <v>45571</v>
      </c>
      <c r="D257" s="18" t="str">
        <f t="shared" si="27"/>
        <v>06/10/2024 a 12/10/2024</v>
      </c>
      <c r="E257" s="16">
        <f t="shared" si="28"/>
        <v>1210</v>
      </c>
      <c r="F257" s="16">
        <f ca="1" t="shared" si="31"/>
        <v>0</v>
      </c>
      <c r="G257" s="16">
        <f ca="1" t="shared" si="30"/>
        <v>0</v>
      </c>
    </row>
    <row r="258" spans="2:7">
      <c r="B258" s="17" t="str">
        <f t="shared" si="29"/>
        <v>10/2024</v>
      </c>
      <c r="C258" s="18">
        <f t="shared" si="26"/>
        <v>45571</v>
      </c>
      <c r="D258" s="18" t="str">
        <f t="shared" si="27"/>
        <v>06/10/2024 a 12/10/2024</v>
      </c>
      <c r="E258" s="16">
        <f t="shared" si="28"/>
        <v>1212</v>
      </c>
      <c r="F258" s="16">
        <f ca="1" t="shared" si="31"/>
        <v>0</v>
      </c>
      <c r="G258" s="16">
        <f ca="1" t="shared" si="30"/>
        <v>0</v>
      </c>
    </row>
    <row r="259" spans="2:7">
      <c r="B259" s="17" t="str">
        <f t="shared" si="29"/>
        <v>10/2024</v>
      </c>
      <c r="C259" s="18">
        <f t="shared" si="26"/>
        <v>45571</v>
      </c>
      <c r="D259" s="18" t="str">
        <f t="shared" si="27"/>
        <v>06/10/2024 a 12/10/2024</v>
      </c>
      <c r="E259" s="16">
        <f t="shared" si="28"/>
        <v>1214</v>
      </c>
      <c r="F259" s="16">
        <f ca="1" t="shared" si="31"/>
        <v>0</v>
      </c>
      <c r="G259" s="16">
        <f ca="1" t="shared" si="30"/>
        <v>0</v>
      </c>
    </row>
    <row r="260" spans="2:7">
      <c r="B260" s="17" t="str">
        <f t="shared" si="29"/>
        <v>10/2024</v>
      </c>
      <c r="C260" s="18">
        <f t="shared" si="26"/>
        <v>45578</v>
      </c>
      <c r="D260" s="18" t="str">
        <f t="shared" si="27"/>
        <v>13/10/2024 a 19/10/2024</v>
      </c>
      <c r="E260" s="16">
        <f>E255+24</f>
        <v>1230</v>
      </c>
      <c r="F260" s="16">
        <f ca="1" t="shared" si="31"/>
        <v>0</v>
      </c>
      <c r="G260" s="16">
        <f ca="1" t="shared" si="30"/>
        <v>0</v>
      </c>
    </row>
    <row r="261" spans="2:7">
      <c r="B261" s="17" t="str">
        <f t="shared" si="29"/>
        <v>10/2024</v>
      </c>
      <c r="C261" s="18">
        <f t="shared" si="26"/>
        <v>45578</v>
      </c>
      <c r="D261" s="18" t="str">
        <f t="shared" si="27"/>
        <v>13/10/2024 a 19/10/2024</v>
      </c>
      <c r="E261" s="16">
        <f t="shared" si="28"/>
        <v>1232</v>
      </c>
      <c r="F261" s="16">
        <f ca="1" t="shared" si="31"/>
        <v>0</v>
      </c>
      <c r="G261" s="16">
        <f ca="1" t="shared" si="30"/>
        <v>0</v>
      </c>
    </row>
    <row r="262" spans="2:7">
      <c r="B262" s="17" t="str">
        <f t="shared" si="29"/>
        <v>10/2024</v>
      </c>
      <c r="C262" s="18">
        <f t="shared" si="26"/>
        <v>45578</v>
      </c>
      <c r="D262" s="18" t="str">
        <f t="shared" si="27"/>
        <v>13/10/2024 a 19/10/2024</v>
      </c>
      <c r="E262" s="16">
        <f t="shared" si="28"/>
        <v>1234</v>
      </c>
      <c r="F262" s="16">
        <f ca="1" t="shared" si="31"/>
        <v>0</v>
      </c>
      <c r="G262" s="16">
        <f ca="1" t="shared" si="30"/>
        <v>0</v>
      </c>
    </row>
    <row r="263" spans="2:7">
      <c r="B263" s="17" t="str">
        <f t="shared" si="29"/>
        <v>10/2024</v>
      </c>
      <c r="C263" s="18">
        <f t="shared" si="26"/>
        <v>45578</v>
      </c>
      <c r="D263" s="18" t="str">
        <f t="shared" si="27"/>
        <v>13/10/2024 a 19/10/2024</v>
      </c>
      <c r="E263" s="16">
        <f t="shared" si="28"/>
        <v>1236</v>
      </c>
      <c r="F263" s="16">
        <f ca="1" t="shared" si="31"/>
        <v>0</v>
      </c>
      <c r="G263" s="16">
        <f ca="1" t="shared" si="30"/>
        <v>0</v>
      </c>
    </row>
    <row r="264" spans="2:7">
      <c r="B264" s="17" t="str">
        <f t="shared" si="29"/>
        <v>10/2024</v>
      </c>
      <c r="C264" s="18">
        <f t="shared" si="26"/>
        <v>45578</v>
      </c>
      <c r="D264" s="18" t="str">
        <f t="shared" si="27"/>
        <v>13/10/2024 a 19/10/2024</v>
      </c>
      <c r="E264" s="16">
        <f t="shared" si="28"/>
        <v>1238</v>
      </c>
      <c r="F264" s="16">
        <f ca="1" t="shared" si="31"/>
        <v>0</v>
      </c>
      <c r="G264" s="16">
        <f ca="1" t="shared" si="30"/>
        <v>0</v>
      </c>
    </row>
    <row r="265" spans="2:7">
      <c r="B265" s="17" t="str">
        <f t="shared" si="29"/>
        <v>10/2024</v>
      </c>
      <c r="C265" s="18">
        <f t="shared" si="26"/>
        <v>45585</v>
      </c>
      <c r="D265" s="18" t="str">
        <f t="shared" si="27"/>
        <v>20/10/2024 a 26/10/2024</v>
      </c>
      <c r="E265" s="16">
        <f>E260+24</f>
        <v>1254</v>
      </c>
      <c r="F265" s="16">
        <f ca="1" t="shared" si="31"/>
        <v>0</v>
      </c>
      <c r="G265" s="16">
        <f ca="1" t="shared" si="30"/>
        <v>0</v>
      </c>
    </row>
    <row r="266" spans="2:7">
      <c r="B266" s="17" t="str">
        <f t="shared" si="29"/>
        <v>10/2024</v>
      </c>
      <c r="C266" s="18">
        <f t="shared" si="26"/>
        <v>45585</v>
      </c>
      <c r="D266" s="18" t="str">
        <f t="shared" si="27"/>
        <v>20/10/2024 a 26/10/2024</v>
      </c>
      <c r="E266" s="16">
        <f t="shared" si="28"/>
        <v>1256</v>
      </c>
      <c r="F266" s="16">
        <f ca="1" t="shared" si="31"/>
        <v>0</v>
      </c>
      <c r="G266" s="16">
        <f ca="1" t="shared" si="30"/>
        <v>0</v>
      </c>
    </row>
    <row r="267" spans="2:7">
      <c r="B267" s="17" t="str">
        <f t="shared" si="29"/>
        <v>10/2024</v>
      </c>
      <c r="C267" s="18">
        <f t="shared" si="26"/>
        <v>45585</v>
      </c>
      <c r="D267" s="18" t="str">
        <f t="shared" si="27"/>
        <v>20/10/2024 a 26/10/2024</v>
      </c>
      <c r="E267" s="16">
        <f t="shared" si="28"/>
        <v>1258</v>
      </c>
      <c r="F267" s="16">
        <f ca="1" t="shared" si="31"/>
        <v>0</v>
      </c>
      <c r="G267" s="16">
        <f ca="1" t="shared" si="30"/>
        <v>0</v>
      </c>
    </row>
    <row r="268" spans="2:7">
      <c r="B268" s="17" t="str">
        <f t="shared" si="29"/>
        <v>10/2024</v>
      </c>
      <c r="C268" s="18">
        <f t="shared" si="26"/>
        <v>45585</v>
      </c>
      <c r="D268" s="18" t="str">
        <f t="shared" si="27"/>
        <v>20/10/2024 a 26/10/2024</v>
      </c>
      <c r="E268" s="16">
        <f t="shared" si="28"/>
        <v>1260</v>
      </c>
      <c r="F268" s="16">
        <f ca="1" t="shared" si="31"/>
        <v>0</v>
      </c>
      <c r="G268" s="16">
        <f ca="1" t="shared" si="30"/>
        <v>0</v>
      </c>
    </row>
    <row r="269" spans="2:7">
      <c r="B269" s="17" t="str">
        <f t="shared" si="29"/>
        <v>10/2024</v>
      </c>
      <c r="C269" s="18">
        <f t="shared" si="26"/>
        <v>45585</v>
      </c>
      <c r="D269" s="18" t="str">
        <f t="shared" si="27"/>
        <v>20/10/2024 a 26/10/2024</v>
      </c>
      <c r="E269" s="16">
        <f t="shared" si="28"/>
        <v>1262</v>
      </c>
      <c r="F269" s="16">
        <f ca="1" t="shared" si="31"/>
        <v>0</v>
      </c>
      <c r="G269" s="16">
        <f ca="1" t="shared" si="30"/>
        <v>0</v>
      </c>
    </row>
    <row r="270" spans="2:7">
      <c r="B270" s="17" t="str">
        <f t="shared" si="29"/>
        <v>10/2024</v>
      </c>
      <c r="C270" s="18">
        <f t="shared" si="26"/>
        <v>45592</v>
      </c>
      <c r="D270" s="18" t="str">
        <f t="shared" si="27"/>
        <v>27/10/2024 a 02/11/2024</v>
      </c>
      <c r="E270" s="16">
        <f>E265+24</f>
        <v>1278</v>
      </c>
      <c r="F270" s="16">
        <f ca="1" t="shared" si="31"/>
        <v>0</v>
      </c>
      <c r="G270" s="16">
        <f ca="1" t="shared" si="30"/>
        <v>0</v>
      </c>
    </row>
    <row r="271" spans="2:7">
      <c r="B271" s="17" t="str">
        <f t="shared" si="29"/>
        <v>10/2024</v>
      </c>
      <c r="C271" s="18">
        <f t="shared" si="26"/>
        <v>45592</v>
      </c>
      <c r="D271" s="18" t="str">
        <f t="shared" si="27"/>
        <v>27/10/2024 a 02/11/2024</v>
      </c>
      <c r="E271" s="16">
        <f t="shared" si="28"/>
        <v>1280</v>
      </c>
      <c r="F271" s="16">
        <f ca="1" t="shared" si="31"/>
        <v>0</v>
      </c>
      <c r="G271" s="16">
        <f ca="1" t="shared" si="30"/>
        <v>0</v>
      </c>
    </row>
    <row r="272" spans="2:7">
      <c r="B272" s="17" t="str">
        <f t="shared" si="29"/>
        <v>10/2024</v>
      </c>
      <c r="C272" s="18">
        <f t="shared" si="26"/>
        <v>45592</v>
      </c>
      <c r="D272" s="18" t="str">
        <f t="shared" si="27"/>
        <v>27/10/2024 a 02/11/2024</v>
      </c>
      <c r="E272" s="16">
        <f t="shared" si="28"/>
        <v>1282</v>
      </c>
      <c r="F272" s="16">
        <f ca="1" t="shared" si="31"/>
        <v>0</v>
      </c>
      <c r="G272" s="16">
        <f ca="1" t="shared" si="30"/>
        <v>0</v>
      </c>
    </row>
    <row r="273" spans="2:7">
      <c r="B273" s="17" t="str">
        <f t="shared" si="29"/>
        <v>10/2024</v>
      </c>
      <c r="C273" s="18">
        <f t="shared" si="26"/>
        <v>45592</v>
      </c>
      <c r="D273" s="18" t="str">
        <f t="shared" si="27"/>
        <v>27/10/2024 a 02/11/2024</v>
      </c>
      <c r="E273" s="16">
        <f t="shared" si="28"/>
        <v>1284</v>
      </c>
      <c r="F273" s="16">
        <f ca="1" t="shared" si="31"/>
        <v>0</v>
      </c>
      <c r="G273" s="16">
        <f ca="1" t="shared" si="30"/>
        <v>0</v>
      </c>
    </row>
    <row r="274" spans="2:7">
      <c r="B274" s="17" t="str">
        <f t="shared" si="29"/>
        <v>10/2024</v>
      </c>
      <c r="C274" s="18">
        <f t="shared" ref="C274:C337" si="32">C269+7</f>
        <v>45592</v>
      </c>
      <c r="D274" s="18" t="str">
        <f t="shared" si="27"/>
        <v>27/10/2024 a 02/11/2024</v>
      </c>
      <c r="E274" s="16">
        <f t="shared" si="28"/>
        <v>1286</v>
      </c>
      <c r="F274" s="16">
        <f ca="1" t="shared" si="31"/>
        <v>0</v>
      </c>
      <c r="G274" s="16">
        <f ca="1" t="shared" si="30"/>
        <v>0</v>
      </c>
    </row>
    <row r="275" spans="2:7">
      <c r="B275" s="17" t="str">
        <f t="shared" si="29"/>
        <v>11/2024</v>
      </c>
      <c r="C275" s="18">
        <f t="shared" si="32"/>
        <v>45599</v>
      </c>
      <c r="D275" s="18" t="str">
        <f t="shared" ref="D275:D338" si="33">TEXT((C275),"DD/MM/AAAA")&amp;" a "&amp;TEXT((C275+6),"DD/MM/AAAA")</f>
        <v>03/11/2024 a 09/11/2024</v>
      </c>
      <c r="E275" s="16">
        <f>E270+24</f>
        <v>1302</v>
      </c>
      <c r="F275" s="16">
        <f ca="1" t="shared" si="31"/>
        <v>0</v>
      </c>
      <c r="G275" s="16">
        <f ca="1" t="shared" si="30"/>
        <v>0</v>
      </c>
    </row>
    <row r="276" spans="2:7">
      <c r="B276" s="17" t="str">
        <f t="shared" si="29"/>
        <v>11/2024</v>
      </c>
      <c r="C276" s="18">
        <f t="shared" si="32"/>
        <v>45599</v>
      </c>
      <c r="D276" s="18" t="str">
        <f t="shared" si="33"/>
        <v>03/11/2024 a 09/11/2024</v>
      </c>
      <c r="E276" s="16">
        <f t="shared" si="28"/>
        <v>1304</v>
      </c>
      <c r="F276" s="16">
        <f ca="1" t="shared" si="31"/>
        <v>0</v>
      </c>
      <c r="G276" s="16">
        <f ca="1" t="shared" si="30"/>
        <v>0</v>
      </c>
    </row>
    <row r="277" spans="2:7">
      <c r="B277" s="17" t="str">
        <f t="shared" si="29"/>
        <v>11/2024</v>
      </c>
      <c r="C277" s="18">
        <f t="shared" si="32"/>
        <v>45599</v>
      </c>
      <c r="D277" s="18" t="str">
        <f t="shared" si="33"/>
        <v>03/11/2024 a 09/11/2024</v>
      </c>
      <c r="E277" s="16">
        <f t="shared" si="28"/>
        <v>1306</v>
      </c>
      <c r="F277" s="16">
        <f ca="1" t="shared" si="31"/>
        <v>0</v>
      </c>
      <c r="G277" s="16">
        <f ca="1" t="shared" si="30"/>
        <v>0</v>
      </c>
    </row>
    <row r="278" spans="2:7">
      <c r="B278" s="17" t="str">
        <f t="shared" si="29"/>
        <v>11/2024</v>
      </c>
      <c r="C278" s="18">
        <f t="shared" si="32"/>
        <v>45599</v>
      </c>
      <c r="D278" s="18" t="str">
        <f t="shared" si="33"/>
        <v>03/11/2024 a 09/11/2024</v>
      </c>
      <c r="E278" s="16">
        <f t="shared" si="28"/>
        <v>1308</v>
      </c>
      <c r="F278" s="16">
        <f ca="1" t="shared" si="31"/>
        <v>0</v>
      </c>
      <c r="G278" s="16">
        <f ca="1" t="shared" si="30"/>
        <v>0</v>
      </c>
    </row>
    <row r="279" spans="2:7">
      <c r="B279" s="17" t="str">
        <f t="shared" si="29"/>
        <v>11/2024</v>
      </c>
      <c r="C279" s="18">
        <f t="shared" si="32"/>
        <v>45599</v>
      </c>
      <c r="D279" s="18" t="str">
        <f t="shared" si="33"/>
        <v>03/11/2024 a 09/11/2024</v>
      </c>
      <c r="E279" s="16">
        <f t="shared" si="28"/>
        <v>1310</v>
      </c>
      <c r="F279" s="16">
        <f ca="1" t="shared" si="31"/>
        <v>0</v>
      </c>
      <c r="G279" s="16">
        <f ca="1" t="shared" si="30"/>
        <v>0</v>
      </c>
    </row>
    <row r="280" spans="2:7">
      <c r="B280" s="17" t="str">
        <f t="shared" si="29"/>
        <v>11/2024</v>
      </c>
      <c r="C280" s="18">
        <f t="shared" si="32"/>
        <v>45606</v>
      </c>
      <c r="D280" s="18" t="str">
        <f t="shared" si="33"/>
        <v>10/11/2024 a 16/11/2024</v>
      </c>
      <c r="E280" s="16">
        <f>E275+24</f>
        <v>1326</v>
      </c>
      <c r="F280" s="16">
        <f ca="1" t="shared" si="31"/>
        <v>0</v>
      </c>
      <c r="G280" s="16">
        <f ca="1" t="shared" si="30"/>
        <v>0</v>
      </c>
    </row>
    <row r="281" spans="2:7">
      <c r="B281" s="17" t="str">
        <f t="shared" si="29"/>
        <v>11/2024</v>
      </c>
      <c r="C281" s="18">
        <f t="shared" si="32"/>
        <v>45606</v>
      </c>
      <c r="D281" s="18" t="str">
        <f t="shared" si="33"/>
        <v>10/11/2024 a 16/11/2024</v>
      </c>
      <c r="E281" s="16">
        <f t="shared" si="28"/>
        <v>1328</v>
      </c>
      <c r="F281" s="16">
        <f ca="1" t="shared" si="31"/>
        <v>0</v>
      </c>
      <c r="G281" s="16">
        <f ca="1" t="shared" si="30"/>
        <v>0</v>
      </c>
    </row>
    <row r="282" spans="2:7">
      <c r="B282" s="17" t="str">
        <f t="shared" si="29"/>
        <v>11/2024</v>
      </c>
      <c r="C282" s="18">
        <f t="shared" si="32"/>
        <v>45606</v>
      </c>
      <c r="D282" s="18" t="str">
        <f t="shared" si="33"/>
        <v>10/11/2024 a 16/11/2024</v>
      </c>
      <c r="E282" s="16">
        <f t="shared" si="28"/>
        <v>1330</v>
      </c>
      <c r="F282" s="16">
        <f ca="1" t="shared" si="31"/>
        <v>0</v>
      </c>
      <c r="G282" s="16">
        <f ca="1" t="shared" si="30"/>
        <v>0</v>
      </c>
    </row>
    <row r="283" spans="2:7">
      <c r="B283" s="17" t="str">
        <f t="shared" si="29"/>
        <v>11/2024</v>
      </c>
      <c r="C283" s="18">
        <f t="shared" si="32"/>
        <v>45606</v>
      </c>
      <c r="D283" s="18" t="str">
        <f t="shared" si="33"/>
        <v>10/11/2024 a 16/11/2024</v>
      </c>
      <c r="E283" s="16">
        <f t="shared" si="28"/>
        <v>1332</v>
      </c>
      <c r="F283" s="16">
        <f ca="1" t="shared" si="31"/>
        <v>0</v>
      </c>
      <c r="G283" s="16">
        <f ca="1" t="shared" si="30"/>
        <v>0</v>
      </c>
    </row>
    <row r="284" spans="2:7">
      <c r="B284" s="17" t="str">
        <f t="shared" si="29"/>
        <v>11/2024</v>
      </c>
      <c r="C284" s="18">
        <f t="shared" si="32"/>
        <v>45606</v>
      </c>
      <c r="D284" s="18" t="str">
        <f t="shared" si="33"/>
        <v>10/11/2024 a 16/11/2024</v>
      </c>
      <c r="E284" s="16">
        <f t="shared" si="28"/>
        <v>1334</v>
      </c>
      <c r="F284" s="16">
        <f ca="1" t="shared" si="31"/>
        <v>0</v>
      </c>
      <c r="G284" s="16">
        <f ca="1" t="shared" si="30"/>
        <v>0</v>
      </c>
    </row>
    <row r="285" spans="2:7">
      <c r="B285" s="17" t="str">
        <f t="shared" si="29"/>
        <v>11/2024</v>
      </c>
      <c r="C285" s="18">
        <f t="shared" si="32"/>
        <v>45613</v>
      </c>
      <c r="D285" s="18" t="str">
        <f t="shared" si="33"/>
        <v>17/11/2024 a 23/11/2024</v>
      </c>
      <c r="E285" s="16">
        <f>E280+24</f>
        <v>1350</v>
      </c>
      <c r="F285" s="16">
        <f ca="1" t="shared" si="31"/>
        <v>0</v>
      </c>
      <c r="G285" s="16">
        <f ca="1" t="shared" si="30"/>
        <v>0</v>
      </c>
    </row>
    <row r="286" spans="2:7">
      <c r="B286" s="17" t="str">
        <f t="shared" si="29"/>
        <v>11/2024</v>
      </c>
      <c r="C286" s="18">
        <f t="shared" si="32"/>
        <v>45613</v>
      </c>
      <c r="D286" s="18" t="str">
        <f t="shared" si="33"/>
        <v>17/11/2024 a 23/11/2024</v>
      </c>
      <c r="E286" s="16">
        <f t="shared" ref="E286:E349" si="34">E285+2</f>
        <v>1352</v>
      </c>
      <c r="F286" s="16">
        <f ca="1" t="shared" si="31"/>
        <v>0</v>
      </c>
      <c r="G286" s="16">
        <f ca="1" t="shared" si="30"/>
        <v>0</v>
      </c>
    </row>
    <row r="287" spans="2:7">
      <c r="B287" s="17" t="str">
        <f t="shared" si="29"/>
        <v>11/2024</v>
      </c>
      <c r="C287" s="18">
        <f t="shared" si="32"/>
        <v>45613</v>
      </c>
      <c r="D287" s="18" t="str">
        <f t="shared" si="33"/>
        <v>17/11/2024 a 23/11/2024</v>
      </c>
      <c r="E287" s="16">
        <f t="shared" si="34"/>
        <v>1354</v>
      </c>
      <c r="F287" s="16">
        <f ca="1" t="shared" si="31"/>
        <v>0</v>
      </c>
      <c r="G287" s="16">
        <f ca="1" t="shared" si="30"/>
        <v>0</v>
      </c>
    </row>
    <row r="288" spans="2:7">
      <c r="B288" s="17" t="str">
        <f t="shared" si="29"/>
        <v>11/2024</v>
      </c>
      <c r="C288" s="18">
        <f t="shared" si="32"/>
        <v>45613</v>
      </c>
      <c r="D288" s="18" t="str">
        <f t="shared" si="33"/>
        <v>17/11/2024 a 23/11/2024</v>
      </c>
      <c r="E288" s="16">
        <f t="shared" si="34"/>
        <v>1356</v>
      </c>
      <c r="F288" s="16">
        <f ca="1" t="shared" si="31"/>
        <v>0</v>
      </c>
      <c r="G288" s="16">
        <f ca="1" t="shared" si="30"/>
        <v>0</v>
      </c>
    </row>
    <row r="289" spans="2:7">
      <c r="B289" s="17" t="str">
        <f t="shared" si="29"/>
        <v>11/2024</v>
      </c>
      <c r="C289" s="18">
        <f t="shared" si="32"/>
        <v>45613</v>
      </c>
      <c r="D289" s="18" t="str">
        <f t="shared" si="33"/>
        <v>17/11/2024 a 23/11/2024</v>
      </c>
      <c r="E289" s="16">
        <f t="shared" si="34"/>
        <v>1358</v>
      </c>
      <c r="F289" s="16">
        <f ca="1" t="shared" si="31"/>
        <v>0</v>
      </c>
      <c r="G289" s="16">
        <f ca="1" t="shared" si="30"/>
        <v>0</v>
      </c>
    </row>
    <row r="290" spans="2:7">
      <c r="B290" s="17" t="str">
        <f t="shared" si="29"/>
        <v>11/2024</v>
      </c>
      <c r="C290" s="18">
        <f t="shared" si="32"/>
        <v>45620</v>
      </c>
      <c r="D290" s="18" t="str">
        <f t="shared" si="33"/>
        <v>24/11/2024 a 30/11/2024</v>
      </c>
      <c r="E290" s="16">
        <f>E285+24</f>
        <v>1374</v>
      </c>
      <c r="F290" s="16">
        <f ca="1" t="shared" si="31"/>
        <v>0</v>
      </c>
      <c r="G290" s="16">
        <f ca="1" t="shared" si="30"/>
        <v>0</v>
      </c>
    </row>
    <row r="291" spans="2:7">
      <c r="B291" s="17" t="str">
        <f t="shared" si="29"/>
        <v>11/2024</v>
      </c>
      <c r="C291" s="18">
        <f t="shared" si="32"/>
        <v>45620</v>
      </c>
      <c r="D291" s="18" t="str">
        <f t="shared" si="33"/>
        <v>24/11/2024 a 30/11/2024</v>
      </c>
      <c r="E291" s="16">
        <f t="shared" si="34"/>
        <v>1376</v>
      </c>
      <c r="F291" s="16">
        <f ca="1" t="shared" si="31"/>
        <v>0</v>
      </c>
      <c r="G291" s="16">
        <f ca="1" t="shared" si="30"/>
        <v>0</v>
      </c>
    </row>
    <row r="292" spans="2:7">
      <c r="B292" s="17" t="str">
        <f t="shared" si="29"/>
        <v>11/2024</v>
      </c>
      <c r="C292" s="18">
        <f t="shared" si="32"/>
        <v>45620</v>
      </c>
      <c r="D292" s="18" t="str">
        <f t="shared" si="33"/>
        <v>24/11/2024 a 30/11/2024</v>
      </c>
      <c r="E292" s="16">
        <f t="shared" si="34"/>
        <v>1378</v>
      </c>
      <c r="F292" s="16">
        <f ca="1" t="shared" si="31"/>
        <v>0</v>
      </c>
      <c r="G292" s="16">
        <f ca="1" t="shared" si="30"/>
        <v>0</v>
      </c>
    </row>
    <row r="293" spans="2:7">
      <c r="B293" s="17" t="str">
        <f t="shared" si="29"/>
        <v>11/2024</v>
      </c>
      <c r="C293" s="18">
        <f t="shared" si="32"/>
        <v>45620</v>
      </c>
      <c r="D293" s="18" t="str">
        <f t="shared" si="33"/>
        <v>24/11/2024 a 30/11/2024</v>
      </c>
      <c r="E293" s="16">
        <f t="shared" si="34"/>
        <v>1380</v>
      </c>
      <c r="F293" s="16">
        <f ca="1" t="shared" si="31"/>
        <v>0</v>
      </c>
      <c r="G293" s="16">
        <f ca="1" t="shared" si="30"/>
        <v>0</v>
      </c>
    </row>
    <row r="294" spans="2:7">
      <c r="B294" s="17" t="str">
        <f t="shared" si="29"/>
        <v>11/2024</v>
      </c>
      <c r="C294" s="18">
        <f t="shared" si="32"/>
        <v>45620</v>
      </c>
      <c r="D294" s="18" t="str">
        <f t="shared" si="33"/>
        <v>24/11/2024 a 30/11/2024</v>
      </c>
      <c r="E294" s="16">
        <f t="shared" si="34"/>
        <v>1382</v>
      </c>
      <c r="F294" s="16">
        <f ca="1" t="shared" si="31"/>
        <v>0</v>
      </c>
      <c r="G294" s="16">
        <f ca="1" t="shared" si="30"/>
        <v>0</v>
      </c>
    </row>
    <row r="295" spans="2:7">
      <c r="B295" s="17" t="str">
        <f t="shared" si="29"/>
        <v>12/2024</v>
      </c>
      <c r="C295" s="18">
        <f t="shared" si="32"/>
        <v>45627</v>
      </c>
      <c r="D295" s="18" t="str">
        <f t="shared" si="33"/>
        <v>01/12/2024 a 07/12/2024</v>
      </c>
      <c r="E295" s="16">
        <f>E290+24</f>
        <v>1398</v>
      </c>
      <c r="F295" s="16">
        <f ca="1" t="shared" si="31"/>
        <v>0</v>
      </c>
      <c r="G295" s="16">
        <f ca="1" t="shared" si="30"/>
        <v>0</v>
      </c>
    </row>
    <row r="296" spans="2:7">
      <c r="B296" s="17" t="str">
        <f t="shared" si="29"/>
        <v>12/2024</v>
      </c>
      <c r="C296" s="18">
        <f t="shared" si="32"/>
        <v>45627</v>
      </c>
      <c r="D296" s="18" t="str">
        <f t="shared" si="33"/>
        <v>01/12/2024 a 07/12/2024</v>
      </c>
      <c r="E296" s="16">
        <f t="shared" si="34"/>
        <v>1400</v>
      </c>
      <c r="F296" s="16">
        <f ca="1" t="shared" si="31"/>
        <v>0</v>
      </c>
      <c r="G296" s="16">
        <f ca="1" t="shared" si="30"/>
        <v>0</v>
      </c>
    </row>
    <row r="297" spans="2:7">
      <c r="B297" s="17" t="str">
        <f t="shared" si="29"/>
        <v>12/2024</v>
      </c>
      <c r="C297" s="18">
        <f t="shared" si="32"/>
        <v>45627</v>
      </c>
      <c r="D297" s="18" t="str">
        <f t="shared" si="33"/>
        <v>01/12/2024 a 07/12/2024</v>
      </c>
      <c r="E297" s="16">
        <f t="shared" si="34"/>
        <v>1402</v>
      </c>
      <c r="F297" s="16">
        <f ca="1" t="shared" si="31"/>
        <v>0</v>
      </c>
      <c r="G297" s="16">
        <f ca="1" t="shared" si="30"/>
        <v>0</v>
      </c>
    </row>
    <row r="298" spans="2:7">
      <c r="B298" s="17" t="str">
        <f t="shared" si="29"/>
        <v>12/2024</v>
      </c>
      <c r="C298" s="18">
        <f t="shared" si="32"/>
        <v>45627</v>
      </c>
      <c r="D298" s="18" t="str">
        <f t="shared" si="33"/>
        <v>01/12/2024 a 07/12/2024</v>
      </c>
      <c r="E298" s="16">
        <f t="shared" si="34"/>
        <v>1404</v>
      </c>
      <c r="F298" s="16">
        <f ca="1" t="shared" si="31"/>
        <v>0</v>
      </c>
      <c r="G298" s="16">
        <f ca="1" t="shared" si="30"/>
        <v>0</v>
      </c>
    </row>
    <row r="299" spans="2:7">
      <c r="B299" s="17" t="str">
        <f t="shared" si="29"/>
        <v>12/2024</v>
      </c>
      <c r="C299" s="18">
        <f t="shared" si="32"/>
        <v>45627</v>
      </c>
      <c r="D299" s="18" t="str">
        <f t="shared" si="33"/>
        <v>01/12/2024 a 07/12/2024</v>
      </c>
      <c r="E299" s="16">
        <f t="shared" si="34"/>
        <v>1406</v>
      </c>
      <c r="F299" s="16">
        <f ca="1" t="shared" si="31"/>
        <v>0</v>
      </c>
      <c r="G299" s="16">
        <f ca="1" t="shared" si="30"/>
        <v>0</v>
      </c>
    </row>
    <row r="300" spans="2:7">
      <c r="B300" s="17" t="str">
        <f t="shared" si="29"/>
        <v>12/2024</v>
      </c>
      <c r="C300" s="18">
        <f t="shared" si="32"/>
        <v>45634</v>
      </c>
      <c r="D300" s="18" t="str">
        <f t="shared" si="33"/>
        <v>08/12/2024 a 14/12/2024</v>
      </c>
      <c r="E300" s="16">
        <f>E295+24</f>
        <v>1422</v>
      </c>
      <c r="F300" s="16">
        <f ca="1" t="shared" si="31"/>
        <v>0</v>
      </c>
      <c r="G300" s="16">
        <f ca="1" t="shared" si="30"/>
        <v>0</v>
      </c>
    </row>
    <row r="301" spans="2:7">
      <c r="B301" s="17" t="str">
        <f t="shared" si="29"/>
        <v>12/2024</v>
      </c>
      <c r="C301" s="18">
        <f t="shared" si="32"/>
        <v>45634</v>
      </c>
      <c r="D301" s="18" t="str">
        <f t="shared" si="33"/>
        <v>08/12/2024 a 14/12/2024</v>
      </c>
      <c r="E301" s="16">
        <f t="shared" si="34"/>
        <v>1424</v>
      </c>
      <c r="F301" s="16">
        <f ca="1" t="shared" si="31"/>
        <v>0</v>
      </c>
      <c r="G301" s="16">
        <f ca="1" t="shared" si="30"/>
        <v>0</v>
      </c>
    </row>
    <row r="302" spans="2:7">
      <c r="B302" s="17" t="str">
        <f t="shared" si="29"/>
        <v>12/2024</v>
      </c>
      <c r="C302" s="18">
        <f t="shared" si="32"/>
        <v>45634</v>
      </c>
      <c r="D302" s="18" t="str">
        <f t="shared" si="33"/>
        <v>08/12/2024 a 14/12/2024</v>
      </c>
      <c r="E302" s="16">
        <f t="shared" si="34"/>
        <v>1426</v>
      </c>
      <c r="F302" s="16">
        <f ca="1" t="shared" si="31"/>
        <v>0</v>
      </c>
      <c r="G302" s="16">
        <f ca="1" t="shared" si="30"/>
        <v>0</v>
      </c>
    </row>
    <row r="303" spans="2:7">
      <c r="B303" s="17" t="str">
        <f t="shared" si="29"/>
        <v>12/2024</v>
      </c>
      <c r="C303" s="18">
        <f t="shared" si="32"/>
        <v>45634</v>
      </c>
      <c r="D303" s="18" t="str">
        <f t="shared" si="33"/>
        <v>08/12/2024 a 14/12/2024</v>
      </c>
      <c r="E303" s="16">
        <f t="shared" si="34"/>
        <v>1428</v>
      </c>
      <c r="F303" s="16">
        <f ca="1" t="shared" si="31"/>
        <v>0</v>
      </c>
      <c r="G303" s="16">
        <f ca="1" t="shared" si="30"/>
        <v>0</v>
      </c>
    </row>
    <row r="304" spans="2:7">
      <c r="B304" s="17" t="str">
        <f t="shared" si="29"/>
        <v>12/2024</v>
      </c>
      <c r="C304" s="18">
        <f t="shared" si="32"/>
        <v>45634</v>
      </c>
      <c r="D304" s="18" t="str">
        <f t="shared" si="33"/>
        <v>08/12/2024 a 14/12/2024</v>
      </c>
      <c r="E304" s="16">
        <f t="shared" si="34"/>
        <v>1430</v>
      </c>
      <c r="F304" s="16">
        <f ca="1" t="shared" si="31"/>
        <v>0</v>
      </c>
      <c r="G304" s="16">
        <f ca="1" t="shared" si="30"/>
        <v>0</v>
      </c>
    </row>
    <row r="305" spans="2:7">
      <c r="B305" s="17" t="str">
        <f t="shared" si="29"/>
        <v>12/2024</v>
      </c>
      <c r="C305" s="18">
        <f t="shared" si="32"/>
        <v>45641</v>
      </c>
      <c r="D305" s="18" t="str">
        <f t="shared" si="33"/>
        <v>15/12/2024 a 21/12/2024</v>
      </c>
      <c r="E305" s="16">
        <f>E300+24</f>
        <v>1446</v>
      </c>
      <c r="F305" s="16">
        <f ca="1" t="shared" si="31"/>
        <v>0</v>
      </c>
      <c r="G305" s="16">
        <f ca="1" t="shared" si="30"/>
        <v>0</v>
      </c>
    </row>
    <row r="306" spans="2:7">
      <c r="B306" s="17" t="str">
        <f t="shared" si="29"/>
        <v>12/2024</v>
      </c>
      <c r="C306" s="18">
        <f t="shared" si="32"/>
        <v>45641</v>
      </c>
      <c r="D306" s="18" t="str">
        <f t="shared" si="33"/>
        <v>15/12/2024 a 21/12/2024</v>
      </c>
      <c r="E306" s="16">
        <f t="shared" si="34"/>
        <v>1448</v>
      </c>
      <c r="F306" s="16">
        <f ca="1" t="shared" si="31"/>
        <v>0</v>
      </c>
      <c r="G306" s="16">
        <f ca="1" t="shared" si="30"/>
        <v>0</v>
      </c>
    </row>
    <row r="307" spans="2:7">
      <c r="B307" s="17" t="str">
        <f t="shared" si="29"/>
        <v>12/2024</v>
      </c>
      <c r="C307" s="18">
        <f t="shared" si="32"/>
        <v>45641</v>
      </c>
      <c r="D307" s="18" t="str">
        <f t="shared" si="33"/>
        <v>15/12/2024 a 21/12/2024</v>
      </c>
      <c r="E307" s="16">
        <f t="shared" si="34"/>
        <v>1450</v>
      </c>
      <c r="F307" s="16">
        <f ca="1" t="shared" si="31"/>
        <v>0</v>
      </c>
      <c r="G307" s="16">
        <f ca="1" t="shared" si="30"/>
        <v>0</v>
      </c>
    </row>
    <row r="308" spans="2:7">
      <c r="B308" s="17" t="str">
        <f t="shared" si="29"/>
        <v>12/2024</v>
      </c>
      <c r="C308" s="18">
        <f t="shared" si="32"/>
        <v>45641</v>
      </c>
      <c r="D308" s="18" t="str">
        <f t="shared" si="33"/>
        <v>15/12/2024 a 21/12/2024</v>
      </c>
      <c r="E308" s="16">
        <f t="shared" si="34"/>
        <v>1452</v>
      </c>
      <c r="F308" s="16">
        <f ca="1" t="shared" si="31"/>
        <v>0</v>
      </c>
      <c r="G308" s="16">
        <f ca="1" t="shared" si="30"/>
        <v>0</v>
      </c>
    </row>
    <row r="309" spans="2:7">
      <c r="B309" s="17" t="str">
        <f t="shared" si="29"/>
        <v>12/2024</v>
      </c>
      <c r="C309" s="18">
        <f t="shared" si="32"/>
        <v>45641</v>
      </c>
      <c r="D309" s="18" t="str">
        <f t="shared" si="33"/>
        <v>15/12/2024 a 21/12/2024</v>
      </c>
      <c r="E309" s="16">
        <f t="shared" si="34"/>
        <v>1454</v>
      </c>
      <c r="F309" s="16">
        <f ca="1" t="shared" si="31"/>
        <v>0</v>
      </c>
      <c r="G309" s="16">
        <f ca="1" t="shared" si="30"/>
        <v>0</v>
      </c>
    </row>
    <row r="310" spans="2:7">
      <c r="B310" s="17" t="str">
        <f t="shared" si="29"/>
        <v>12/2024</v>
      </c>
      <c r="C310" s="18">
        <f t="shared" si="32"/>
        <v>45648</v>
      </c>
      <c r="D310" s="18" t="str">
        <f t="shared" si="33"/>
        <v>22/12/2024 a 28/12/2024</v>
      </c>
      <c r="E310" s="16">
        <f>E305+24</f>
        <v>1470</v>
      </c>
      <c r="F310" s="16">
        <f ca="1" t="shared" si="31"/>
        <v>0</v>
      </c>
      <c r="G310" s="16">
        <f ca="1" t="shared" si="30"/>
        <v>0</v>
      </c>
    </row>
    <row r="311" spans="2:7">
      <c r="B311" s="17" t="str">
        <f t="shared" si="29"/>
        <v>12/2024</v>
      </c>
      <c r="C311" s="18">
        <f t="shared" si="32"/>
        <v>45648</v>
      </c>
      <c r="D311" s="18" t="str">
        <f t="shared" si="33"/>
        <v>22/12/2024 a 28/12/2024</v>
      </c>
      <c r="E311" s="16">
        <f t="shared" si="34"/>
        <v>1472</v>
      </c>
      <c r="F311" s="16">
        <f ca="1" t="shared" si="31"/>
        <v>0</v>
      </c>
      <c r="G311" s="16">
        <f ca="1" t="shared" si="30"/>
        <v>0</v>
      </c>
    </row>
    <row r="312" spans="2:7">
      <c r="B312" s="17" t="str">
        <f t="shared" si="29"/>
        <v>12/2024</v>
      </c>
      <c r="C312" s="18">
        <f t="shared" si="32"/>
        <v>45648</v>
      </c>
      <c r="D312" s="18" t="str">
        <f t="shared" si="33"/>
        <v>22/12/2024 a 28/12/2024</v>
      </c>
      <c r="E312" s="16">
        <f t="shared" si="34"/>
        <v>1474</v>
      </c>
      <c r="F312" s="16">
        <f ca="1" t="shared" si="31"/>
        <v>0</v>
      </c>
      <c r="G312" s="16">
        <f ca="1" t="shared" si="30"/>
        <v>0</v>
      </c>
    </row>
    <row r="313" spans="2:7">
      <c r="B313" s="17" t="str">
        <f t="shared" ref="B313:B376" si="35">MONTH(C313)&amp;"/"&amp;YEAR(C313)</f>
        <v>12/2024</v>
      </c>
      <c r="C313" s="18">
        <f t="shared" si="32"/>
        <v>45648</v>
      </c>
      <c r="D313" s="18" t="str">
        <f t="shared" si="33"/>
        <v>22/12/2024 a 28/12/2024</v>
      </c>
      <c r="E313" s="16">
        <f t="shared" si="34"/>
        <v>1476</v>
      </c>
      <c r="F313" s="16">
        <f ca="1" t="shared" si="31"/>
        <v>0</v>
      </c>
      <c r="G313" s="16">
        <f ca="1" t="shared" ref="G313:G376" si="36">INDIRECT("'Diário'!J"&amp;E313)</f>
        <v>0</v>
      </c>
    </row>
    <row r="314" spans="2:7">
      <c r="B314" s="17" t="str">
        <f t="shared" si="35"/>
        <v>12/2024</v>
      </c>
      <c r="C314" s="18">
        <f t="shared" si="32"/>
        <v>45648</v>
      </c>
      <c r="D314" s="18" t="str">
        <f t="shared" si="33"/>
        <v>22/12/2024 a 28/12/2024</v>
      </c>
      <c r="E314" s="16">
        <f t="shared" si="34"/>
        <v>1478</v>
      </c>
      <c r="F314" s="16">
        <f ca="1" t="shared" si="31"/>
        <v>0</v>
      </c>
      <c r="G314" s="16">
        <f ca="1" t="shared" si="36"/>
        <v>0</v>
      </c>
    </row>
    <row r="315" spans="2:7">
      <c r="B315" s="17" t="str">
        <f t="shared" si="35"/>
        <v>12/2024</v>
      </c>
      <c r="C315" s="18">
        <f t="shared" si="32"/>
        <v>45655</v>
      </c>
      <c r="D315" s="18" t="str">
        <f t="shared" si="33"/>
        <v>29/12/2024 a 04/01/2025</v>
      </c>
      <c r="E315" s="16">
        <f>E310+24</f>
        <v>1494</v>
      </c>
      <c r="F315" s="16">
        <f ca="1" t="shared" si="31"/>
        <v>0</v>
      </c>
      <c r="G315" s="16">
        <f ca="1" t="shared" si="36"/>
        <v>0</v>
      </c>
    </row>
    <row r="316" spans="2:7">
      <c r="B316" s="17" t="str">
        <f t="shared" si="35"/>
        <v>12/2024</v>
      </c>
      <c r="C316" s="18">
        <f t="shared" si="32"/>
        <v>45655</v>
      </c>
      <c r="D316" s="18" t="str">
        <f t="shared" si="33"/>
        <v>29/12/2024 a 04/01/2025</v>
      </c>
      <c r="E316" s="16">
        <f t="shared" si="34"/>
        <v>1496</v>
      </c>
      <c r="F316" s="16">
        <f ca="1" t="shared" si="31"/>
        <v>0</v>
      </c>
      <c r="G316" s="16">
        <f ca="1" t="shared" si="36"/>
        <v>0</v>
      </c>
    </row>
    <row r="317" spans="2:7">
      <c r="B317" s="17" t="str">
        <f t="shared" si="35"/>
        <v>12/2024</v>
      </c>
      <c r="C317" s="18">
        <f t="shared" si="32"/>
        <v>45655</v>
      </c>
      <c r="D317" s="18" t="str">
        <f t="shared" si="33"/>
        <v>29/12/2024 a 04/01/2025</v>
      </c>
      <c r="E317" s="16">
        <f t="shared" si="34"/>
        <v>1498</v>
      </c>
      <c r="F317" s="16">
        <f ca="1" t="shared" si="31"/>
        <v>0</v>
      </c>
      <c r="G317" s="16">
        <f ca="1" t="shared" si="36"/>
        <v>0</v>
      </c>
    </row>
    <row r="318" spans="2:7">
      <c r="B318" s="17" t="str">
        <f t="shared" si="35"/>
        <v>12/2024</v>
      </c>
      <c r="C318" s="18">
        <f t="shared" si="32"/>
        <v>45655</v>
      </c>
      <c r="D318" s="18" t="str">
        <f t="shared" si="33"/>
        <v>29/12/2024 a 04/01/2025</v>
      </c>
      <c r="E318" s="16">
        <f t="shared" si="34"/>
        <v>1500</v>
      </c>
      <c r="F318" s="16">
        <f ca="1" t="shared" ref="F318:F381" si="37">INDIRECT("Diário!I"&amp;E318)</f>
        <v>0</v>
      </c>
      <c r="G318" s="16">
        <f ca="1" t="shared" si="36"/>
        <v>0</v>
      </c>
    </row>
    <row r="319" spans="2:7">
      <c r="B319" s="17" t="str">
        <f t="shared" si="35"/>
        <v>12/2024</v>
      </c>
      <c r="C319" s="18">
        <f t="shared" si="32"/>
        <v>45655</v>
      </c>
      <c r="D319" s="18" t="str">
        <f t="shared" si="33"/>
        <v>29/12/2024 a 04/01/2025</v>
      </c>
      <c r="E319" s="16">
        <f t="shared" si="34"/>
        <v>1502</v>
      </c>
      <c r="F319" s="16">
        <f ca="1" t="shared" si="37"/>
        <v>0</v>
      </c>
      <c r="G319" s="16">
        <f ca="1" t="shared" si="36"/>
        <v>0</v>
      </c>
    </row>
    <row r="320" spans="2:7">
      <c r="B320" s="17" t="str">
        <f t="shared" si="35"/>
        <v>1/2025</v>
      </c>
      <c r="C320" s="18">
        <f t="shared" si="32"/>
        <v>45662</v>
      </c>
      <c r="D320" s="18" t="str">
        <f t="shared" si="33"/>
        <v>05/01/2025 a 11/01/2025</v>
      </c>
      <c r="E320" s="16">
        <f>E315+24</f>
        <v>1518</v>
      </c>
      <c r="F320" s="16">
        <f ca="1" t="shared" si="37"/>
        <v>0</v>
      </c>
      <c r="G320" s="16">
        <f ca="1" t="shared" si="36"/>
        <v>0</v>
      </c>
    </row>
    <row r="321" spans="2:7">
      <c r="B321" s="17" t="str">
        <f t="shared" si="35"/>
        <v>1/2025</v>
      </c>
      <c r="C321" s="18">
        <f t="shared" si="32"/>
        <v>45662</v>
      </c>
      <c r="D321" s="18" t="str">
        <f t="shared" si="33"/>
        <v>05/01/2025 a 11/01/2025</v>
      </c>
      <c r="E321" s="16">
        <f t="shared" si="34"/>
        <v>1520</v>
      </c>
      <c r="F321" s="16">
        <f ca="1" t="shared" si="37"/>
        <v>0</v>
      </c>
      <c r="G321" s="16">
        <f ca="1" t="shared" si="36"/>
        <v>0</v>
      </c>
    </row>
    <row r="322" spans="2:7">
      <c r="B322" s="17" t="str">
        <f t="shared" si="35"/>
        <v>1/2025</v>
      </c>
      <c r="C322" s="18">
        <f t="shared" si="32"/>
        <v>45662</v>
      </c>
      <c r="D322" s="18" t="str">
        <f t="shared" si="33"/>
        <v>05/01/2025 a 11/01/2025</v>
      </c>
      <c r="E322" s="16">
        <f t="shared" si="34"/>
        <v>1522</v>
      </c>
      <c r="F322" s="16">
        <f ca="1" t="shared" si="37"/>
        <v>0</v>
      </c>
      <c r="G322" s="16">
        <f ca="1" t="shared" si="36"/>
        <v>0</v>
      </c>
    </row>
    <row r="323" spans="2:7">
      <c r="B323" s="17" t="str">
        <f t="shared" si="35"/>
        <v>1/2025</v>
      </c>
      <c r="C323" s="18">
        <f t="shared" si="32"/>
        <v>45662</v>
      </c>
      <c r="D323" s="18" t="str">
        <f t="shared" si="33"/>
        <v>05/01/2025 a 11/01/2025</v>
      </c>
      <c r="E323" s="16">
        <f t="shared" si="34"/>
        <v>1524</v>
      </c>
      <c r="F323" s="16">
        <f ca="1" t="shared" si="37"/>
        <v>0</v>
      </c>
      <c r="G323" s="16">
        <f ca="1" t="shared" si="36"/>
        <v>0</v>
      </c>
    </row>
    <row r="324" spans="2:7">
      <c r="B324" s="17" t="str">
        <f t="shared" si="35"/>
        <v>1/2025</v>
      </c>
      <c r="C324" s="18">
        <f t="shared" si="32"/>
        <v>45662</v>
      </c>
      <c r="D324" s="18" t="str">
        <f t="shared" si="33"/>
        <v>05/01/2025 a 11/01/2025</v>
      </c>
      <c r="E324" s="16">
        <f t="shared" si="34"/>
        <v>1526</v>
      </c>
      <c r="F324" s="16">
        <f ca="1" t="shared" si="37"/>
        <v>0</v>
      </c>
      <c r="G324" s="16">
        <f ca="1" t="shared" si="36"/>
        <v>0</v>
      </c>
    </row>
    <row r="325" spans="2:7">
      <c r="B325" s="17" t="str">
        <f t="shared" si="35"/>
        <v>1/2025</v>
      </c>
      <c r="C325" s="18">
        <f t="shared" si="32"/>
        <v>45669</v>
      </c>
      <c r="D325" s="18" t="str">
        <f t="shared" si="33"/>
        <v>12/01/2025 a 18/01/2025</v>
      </c>
      <c r="E325" s="16">
        <f>E320+24</f>
        <v>1542</v>
      </c>
      <c r="F325" s="16">
        <f ca="1" t="shared" si="37"/>
        <v>0</v>
      </c>
      <c r="G325" s="16">
        <f ca="1" t="shared" si="36"/>
        <v>0</v>
      </c>
    </row>
    <row r="326" spans="2:7">
      <c r="B326" s="17" t="str">
        <f t="shared" si="35"/>
        <v>1/2025</v>
      </c>
      <c r="C326" s="18">
        <f t="shared" si="32"/>
        <v>45669</v>
      </c>
      <c r="D326" s="18" t="str">
        <f t="shared" si="33"/>
        <v>12/01/2025 a 18/01/2025</v>
      </c>
      <c r="E326" s="16">
        <f t="shared" si="34"/>
        <v>1544</v>
      </c>
      <c r="F326" s="16">
        <f ca="1" t="shared" si="37"/>
        <v>0</v>
      </c>
      <c r="G326" s="16">
        <f ca="1" t="shared" si="36"/>
        <v>0</v>
      </c>
    </row>
    <row r="327" spans="2:7">
      <c r="B327" s="17" t="str">
        <f t="shared" si="35"/>
        <v>1/2025</v>
      </c>
      <c r="C327" s="18">
        <f t="shared" si="32"/>
        <v>45669</v>
      </c>
      <c r="D327" s="18" t="str">
        <f t="shared" si="33"/>
        <v>12/01/2025 a 18/01/2025</v>
      </c>
      <c r="E327" s="16">
        <f t="shared" si="34"/>
        <v>1546</v>
      </c>
      <c r="F327" s="16">
        <f ca="1" t="shared" si="37"/>
        <v>0</v>
      </c>
      <c r="G327" s="16">
        <f ca="1" t="shared" si="36"/>
        <v>0</v>
      </c>
    </row>
    <row r="328" spans="2:7">
      <c r="B328" s="17" t="str">
        <f t="shared" si="35"/>
        <v>1/2025</v>
      </c>
      <c r="C328" s="18">
        <f t="shared" si="32"/>
        <v>45669</v>
      </c>
      <c r="D328" s="18" t="str">
        <f t="shared" si="33"/>
        <v>12/01/2025 a 18/01/2025</v>
      </c>
      <c r="E328" s="16">
        <f t="shared" si="34"/>
        <v>1548</v>
      </c>
      <c r="F328" s="16">
        <f ca="1" t="shared" si="37"/>
        <v>0</v>
      </c>
      <c r="G328" s="16">
        <f ca="1" t="shared" si="36"/>
        <v>0</v>
      </c>
    </row>
    <row r="329" spans="2:7">
      <c r="B329" s="17" t="str">
        <f t="shared" si="35"/>
        <v>1/2025</v>
      </c>
      <c r="C329" s="18">
        <f t="shared" si="32"/>
        <v>45669</v>
      </c>
      <c r="D329" s="18" t="str">
        <f t="shared" si="33"/>
        <v>12/01/2025 a 18/01/2025</v>
      </c>
      <c r="E329" s="16">
        <f t="shared" si="34"/>
        <v>1550</v>
      </c>
      <c r="F329" s="16">
        <f ca="1" t="shared" si="37"/>
        <v>0</v>
      </c>
      <c r="G329" s="16">
        <f ca="1" t="shared" si="36"/>
        <v>0</v>
      </c>
    </row>
    <row r="330" spans="2:7">
      <c r="B330" s="17" t="str">
        <f t="shared" si="35"/>
        <v>1/2025</v>
      </c>
      <c r="C330" s="18">
        <f t="shared" si="32"/>
        <v>45676</v>
      </c>
      <c r="D330" s="18" t="str">
        <f t="shared" si="33"/>
        <v>19/01/2025 a 25/01/2025</v>
      </c>
      <c r="E330" s="16">
        <f>E325+24</f>
        <v>1566</v>
      </c>
      <c r="F330" s="16">
        <f ca="1" t="shared" si="37"/>
        <v>0</v>
      </c>
      <c r="G330" s="16">
        <f ca="1" t="shared" si="36"/>
        <v>0</v>
      </c>
    </row>
    <row r="331" spans="2:7">
      <c r="B331" s="17" t="str">
        <f t="shared" si="35"/>
        <v>1/2025</v>
      </c>
      <c r="C331" s="18">
        <f t="shared" si="32"/>
        <v>45676</v>
      </c>
      <c r="D331" s="18" t="str">
        <f t="shared" si="33"/>
        <v>19/01/2025 a 25/01/2025</v>
      </c>
      <c r="E331" s="16">
        <f t="shared" si="34"/>
        <v>1568</v>
      </c>
      <c r="F331" s="16">
        <f ca="1" t="shared" si="37"/>
        <v>0</v>
      </c>
      <c r="G331" s="16">
        <f ca="1" t="shared" si="36"/>
        <v>0</v>
      </c>
    </row>
    <row r="332" spans="2:7">
      <c r="B332" s="17" t="str">
        <f t="shared" si="35"/>
        <v>1/2025</v>
      </c>
      <c r="C332" s="18">
        <f t="shared" si="32"/>
        <v>45676</v>
      </c>
      <c r="D332" s="18" t="str">
        <f t="shared" si="33"/>
        <v>19/01/2025 a 25/01/2025</v>
      </c>
      <c r="E332" s="16">
        <f t="shared" si="34"/>
        <v>1570</v>
      </c>
      <c r="F332" s="16">
        <f ca="1" t="shared" si="37"/>
        <v>0</v>
      </c>
      <c r="G332" s="16">
        <f ca="1" t="shared" si="36"/>
        <v>0</v>
      </c>
    </row>
    <row r="333" spans="2:7">
      <c r="B333" s="17" t="str">
        <f t="shared" si="35"/>
        <v>1/2025</v>
      </c>
      <c r="C333" s="18">
        <f t="shared" si="32"/>
        <v>45676</v>
      </c>
      <c r="D333" s="18" t="str">
        <f t="shared" si="33"/>
        <v>19/01/2025 a 25/01/2025</v>
      </c>
      <c r="E333" s="16">
        <f t="shared" si="34"/>
        <v>1572</v>
      </c>
      <c r="F333" s="16">
        <f ca="1" t="shared" si="37"/>
        <v>0</v>
      </c>
      <c r="G333" s="16">
        <f ca="1" t="shared" si="36"/>
        <v>0</v>
      </c>
    </row>
    <row r="334" spans="2:7">
      <c r="B334" s="17" t="str">
        <f t="shared" si="35"/>
        <v>1/2025</v>
      </c>
      <c r="C334" s="18">
        <f t="shared" si="32"/>
        <v>45676</v>
      </c>
      <c r="D334" s="18" t="str">
        <f t="shared" si="33"/>
        <v>19/01/2025 a 25/01/2025</v>
      </c>
      <c r="E334" s="16">
        <f t="shared" si="34"/>
        <v>1574</v>
      </c>
      <c r="F334" s="16">
        <f ca="1" t="shared" si="37"/>
        <v>0</v>
      </c>
      <c r="G334" s="16">
        <f ca="1" t="shared" si="36"/>
        <v>0</v>
      </c>
    </row>
    <row r="335" spans="2:7">
      <c r="B335" s="17" t="str">
        <f t="shared" si="35"/>
        <v>1/2025</v>
      </c>
      <c r="C335" s="18">
        <f t="shared" si="32"/>
        <v>45683</v>
      </c>
      <c r="D335" s="18" t="str">
        <f t="shared" si="33"/>
        <v>26/01/2025 a 01/02/2025</v>
      </c>
      <c r="E335" s="16">
        <f>E330+24</f>
        <v>1590</v>
      </c>
      <c r="F335" s="16">
        <f ca="1" t="shared" si="37"/>
        <v>0</v>
      </c>
      <c r="G335" s="16">
        <f ca="1" t="shared" si="36"/>
        <v>0</v>
      </c>
    </row>
    <row r="336" spans="2:7">
      <c r="B336" s="17" t="str">
        <f t="shared" si="35"/>
        <v>1/2025</v>
      </c>
      <c r="C336" s="18">
        <f t="shared" si="32"/>
        <v>45683</v>
      </c>
      <c r="D336" s="18" t="str">
        <f t="shared" si="33"/>
        <v>26/01/2025 a 01/02/2025</v>
      </c>
      <c r="E336" s="16">
        <f t="shared" si="34"/>
        <v>1592</v>
      </c>
      <c r="F336" s="16">
        <f ca="1" t="shared" si="37"/>
        <v>0</v>
      </c>
      <c r="G336" s="16">
        <f ca="1" t="shared" si="36"/>
        <v>0</v>
      </c>
    </row>
    <row r="337" spans="2:7">
      <c r="B337" s="17" t="str">
        <f t="shared" si="35"/>
        <v>1/2025</v>
      </c>
      <c r="C337" s="18">
        <f t="shared" si="32"/>
        <v>45683</v>
      </c>
      <c r="D337" s="18" t="str">
        <f t="shared" si="33"/>
        <v>26/01/2025 a 01/02/2025</v>
      </c>
      <c r="E337" s="16">
        <f t="shared" si="34"/>
        <v>1594</v>
      </c>
      <c r="F337" s="16">
        <f ca="1" t="shared" si="37"/>
        <v>0</v>
      </c>
      <c r="G337" s="16">
        <f ca="1" t="shared" si="36"/>
        <v>0</v>
      </c>
    </row>
    <row r="338" spans="2:7">
      <c r="B338" s="17" t="str">
        <f t="shared" si="35"/>
        <v>1/2025</v>
      </c>
      <c r="C338" s="18">
        <f t="shared" ref="C338:C401" si="38">C333+7</f>
        <v>45683</v>
      </c>
      <c r="D338" s="18" t="str">
        <f t="shared" si="33"/>
        <v>26/01/2025 a 01/02/2025</v>
      </c>
      <c r="E338" s="16">
        <f t="shared" si="34"/>
        <v>1596</v>
      </c>
      <c r="F338" s="16">
        <f ca="1" t="shared" si="37"/>
        <v>0</v>
      </c>
      <c r="G338" s="16">
        <f ca="1" t="shared" si="36"/>
        <v>0</v>
      </c>
    </row>
    <row r="339" spans="2:7">
      <c r="B339" s="17" t="str">
        <f t="shared" si="35"/>
        <v>1/2025</v>
      </c>
      <c r="C339" s="18">
        <f t="shared" si="38"/>
        <v>45683</v>
      </c>
      <c r="D339" s="18" t="str">
        <f t="shared" ref="D339:D402" si="39">TEXT((C339),"DD/MM/AAAA")&amp;" a "&amp;TEXT((C339+6),"DD/MM/AAAA")</f>
        <v>26/01/2025 a 01/02/2025</v>
      </c>
      <c r="E339" s="16">
        <f t="shared" si="34"/>
        <v>1598</v>
      </c>
      <c r="F339" s="16">
        <f ca="1" t="shared" si="37"/>
        <v>0</v>
      </c>
      <c r="G339" s="16">
        <f ca="1" t="shared" si="36"/>
        <v>0</v>
      </c>
    </row>
    <row r="340" spans="2:7">
      <c r="B340" s="17" t="str">
        <f t="shared" si="35"/>
        <v>2/2025</v>
      </c>
      <c r="C340" s="18">
        <f t="shared" si="38"/>
        <v>45690</v>
      </c>
      <c r="D340" s="18" t="str">
        <f t="shared" si="39"/>
        <v>02/02/2025 a 08/02/2025</v>
      </c>
      <c r="E340" s="16">
        <f>E335+24</f>
        <v>1614</v>
      </c>
      <c r="F340" s="16">
        <f ca="1" t="shared" si="37"/>
        <v>0</v>
      </c>
      <c r="G340" s="16">
        <f ca="1" t="shared" si="36"/>
        <v>0</v>
      </c>
    </row>
    <row r="341" spans="2:7">
      <c r="B341" s="17" t="str">
        <f t="shared" si="35"/>
        <v>2/2025</v>
      </c>
      <c r="C341" s="18">
        <f t="shared" si="38"/>
        <v>45690</v>
      </c>
      <c r="D341" s="18" t="str">
        <f t="shared" si="39"/>
        <v>02/02/2025 a 08/02/2025</v>
      </c>
      <c r="E341" s="16">
        <f t="shared" si="34"/>
        <v>1616</v>
      </c>
      <c r="F341" s="16">
        <f ca="1" t="shared" si="37"/>
        <v>0</v>
      </c>
      <c r="G341" s="16">
        <f ca="1" t="shared" si="36"/>
        <v>0</v>
      </c>
    </row>
    <row r="342" spans="2:7">
      <c r="B342" s="17" t="str">
        <f t="shared" si="35"/>
        <v>2/2025</v>
      </c>
      <c r="C342" s="18">
        <f t="shared" si="38"/>
        <v>45690</v>
      </c>
      <c r="D342" s="18" t="str">
        <f t="shared" si="39"/>
        <v>02/02/2025 a 08/02/2025</v>
      </c>
      <c r="E342" s="16">
        <f t="shared" si="34"/>
        <v>1618</v>
      </c>
      <c r="F342" s="16">
        <f ca="1" t="shared" si="37"/>
        <v>0</v>
      </c>
      <c r="G342" s="16">
        <f ca="1" t="shared" si="36"/>
        <v>0</v>
      </c>
    </row>
    <row r="343" spans="2:7">
      <c r="B343" s="17" t="str">
        <f t="shared" si="35"/>
        <v>2/2025</v>
      </c>
      <c r="C343" s="18">
        <f t="shared" si="38"/>
        <v>45690</v>
      </c>
      <c r="D343" s="18" t="str">
        <f t="shared" si="39"/>
        <v>02/02/2025 a 08/02/2025</v>
      </c>
      <c r="E343" s="16">
        <f t="shared" si="34"/>
        <v>1620</v>
      </c>
      <c r="F343" s="16">
        <f ca="1" t="shared" si="37"/>
        <v>0</v>
      </c>
      <c r="G343" s="16">
        <f ca="1" t="shared" si="36"/>
        <v>0</v>
      </c>
    </row>
    <row r="344" spans="2:7">
      <c r="B344" s="17" t="str">
        <f t="shared" si="35"/>
        <v>2/2025</v>
      </c>
      <c r="C344" s="18">
        <f t="shared" si="38"/>
        <v>45690</v>
      </c>
      <c r="D344" s="18" t="str">
        <f t="shared" si="39"/>
        <v>02/02/2025 a 08/02/2025</v>
      </c>
      <c r="E344" s="16">
        <f t="shared" si="34"/>
        <v>1622</v>
      </c>
      <c r="F344" s="16">
        <f ca="1" t="shared" si="37"/>
        <v>0</v>
      </c>
      <c r="G344" s="16">
        <f ca="1" t="shared" si="36"/>
        <v>0</v>
      </c>
    </row>
    <row r="345" spans="2:7">
      <c r="B345" s="17" t="str">
        <f t="shared" si="35"/>
        <v>2/2025</v>
      </c>
      <c r="C345" s="18">
        <f t="shared" si="38"/>
        <v>45697</v>
      </c>
      <c r="D345" s="18" t="str">
        <f t="shared" si="39"/>
        <v>09/02/2025 a 15/02/2025</v>
      </c>
      <c r="E345" s="16">
        <f>E340+24</f>
        <v>1638</v>
      </c>
      <c r="F345" s="16">
        <f ca="1" t="shared" si="37"/>
        <v>0</v>
      </c>
      <c r="G345" s="16">
        <f ca="1" t="shared" si="36"/>
        <v>0</v>
      </c>
    </row>
    <row r="346" spans="2:7">
      <c r="B346" s="17" t="str">
        <f t="shared" si="35"/>
        <v>2/2025</v>
      </c>
      <c r="C346" s="18">
        <f t="shared" si="38"/>
        <v>45697</v>
      </c>
      <c r="D346" s="18" t="str">
        <f t="shared" si="39"/>
        <v>09/02/2025 a 15/02/2025</v>
      </c>
      <c r="E346" s="16">
        <f t="shared" si="34"/>
        <v>1640</v>
      </c>
      <c r="F346" s="16">
        <f ca="1" t="shared" si="37"/>
        <v>0</v>
      </c>
      <c r="G346" s="16">
        <f ca="1" t="shared" si="36"/>
        <v>0</v>
      </c>
    </row>
    <row r="347" spans="2:7">
      <c r="B347" s="17" t="str">
        <f t="shared" si="35"/>
        <v>2/2025</v>
      </c>
      <c r="C347" s="18">
        <f t="shared" si="38"/>
        <v>45697</v>
      </c>
      <c r="D347" s="18" t="str">
        <f t="shared" si="39"/>
        <v>09/02/2025 a 15/02/2025</v>
      </c>
      <c r="E347" s="16">
        <f t="shared" si="34"/>
        <v>1642</v>
      </c>
      <c r="F347" s="16">
        <f ca="1" t="shared" si="37"/>
        <v>0</v>
      </c>
      <c r="G347" s="16">
        <f ca="1" t="shared" si="36"/>
        <v>0</v>
      </c>
    </row>
    <row r="348" spans="2:7">
      <c r="B348" s="17" t="str">
        <f t="shared" si="35"/>
        <v>2/2025</v>
      </c>
      <c r="C348" s="18">
        <f t="shared" si="38"/>
        <v>45697</v>
      </c>
      <c r="D348" s="18" t="str">
        <f t="shared" si="39"/>
        <v>09/02/2025 a 15/02/2025</v>
      </c>
      <c r="E348" s="16">
        <f t="shared" si="34"/>
        <v>1644</v>
      </c>
      <c r="F348" s="16">
        <f ca="1" t="shared" si="37"/>
        <v>0</v>
      </c>
      <c r="G348" s="16">
        <f ca="1" t="shared" si="36"/>
        <v>0</v>
      </c>
    </row>
    <row r="349" spans="2:7">
      <c r="B349" s="17" t="str">
        <f t="shared" si="35"/>
        <v>2/2025</v>
      </c>
      <c r="C349" s="18">
        <f t="shared" si="38"/>
        <v>45697</v>
      </c>
      <c r="D349" s="18" t="str">
        <f t="shared" si="39"/>
        <v>09/02/2025 a 15/02/2025</v>
      </c>
      <c r="E349" s="16">
        <f t="shared" si="34"/>
        <v>1646</v>
      </c>
      <c r="F349" s="16">
        <f ca="1" t="shared" si="37"/>
        <v>0</v>
      </c>
      <c r="G349" s="16">
        <f ca="1" t="shared" si="36"/>
        <v>0</v>
      </c>
    </row>
    <row r="350" spans="2:7">
      <c r="B350" s="17" t="str">
        <f t="shared" si="35"/>
        <v>2/2025</v>
      </c>
      <c r="C350" s="18">
        <f t="shared" si="38"/>
        <v>45704</v>
      </c>
      <c r="D350" s="18" t="str">
        <f t="shared" si="39"/>
        <v>16/02/2025 a 22/02/2025</v>
      </c>
      <c r="E350" s="16">
        <f>E345+24</f>
        <v>1662</v>
      </c>
      <c r="F350" s="16">
        <f ca="1" t="shared" si="37"/>
        <v>0</v>
      </c>
      <c r="G350" s="16">
        <f ca="1" t="shared" si="36"/>
        <v>0</v>
      </c>
    </row>
    <row r="351" spans="2:7">
      <c r="B351" s="17" t="str">
        <f t="shared" si="35"/>
        <v>2/2025</v>
      </c>
      <c r="C351" s="18">
        <f t="shared" si="38"/>
        <v>45704</v>
      </c>
      <c r="D351" s="18" t="str">
        <f t="shared" si="39"/>
        <v>16/02/2025 a 22/02/2025</v>
      </c>
      <c r="E351" s="16">
        <f t="shared" ref="E351:E414" si="40">E350+2</f>
        <v>1664</v>
      </c>
      <c r="F351" s="16">
        <f ca="1" t="shared" si="37"/>
        <v>0</v>
      </c>
      <c r="G351" s="16">
        <f ca="1" t="shared" si="36"/>
        <v>0</v>
      </c>
    </row>
    <row r="352" spans="2:7">
      <c r="B352" s="17" t="str">
        <f t="shared" si="35"/>
        <v>2/2025</v>
      </c>
      <c r="C352" s="18">
        <f t="shared" si="38"/>
        <v>45704</v>
      </c>
      <c r="D352" s="18" t="str">
        <f t="shared" si="39"/>
        <v>16/02/2025 a 22/02/2025</v>
      </c>
      <c r="E352" s="16">
        <f t="shared" si="40"/>
        <v>1666</v>
      </c>
      <c r="F352" s="16">
        <f ca="1" t="shared" si="37"/>
        <v>0</v>
      </c>
      <c r="G352" s="16">
        <f ca="1" t="shared" si="36"/>
        <v>0</v>
      </c>
    </row>
    <row r="353" spans="2:7">
      <c r="B353" s="17" t="str">
        <f t="shared" si="35"/>
        <v>2/2025</v>
      </c>
      <c r="C353" s="18">
        <f t="shared" si="38"/>
        <v>45704</v>
      </c>
      <c r="D353" s="18" t="str">
        <f t="shared" si="39"/>
        <v>16/02/2025 a 22/02/2025</v>
      </c>
      <c r="E353" s="16">
        <f t="shared" si="40"/>
        <v>1668</v>
      </c>
      <c r="F353" s="16">
        <f ca="1" t="shared" si="37"/>
        <v>0</v>
      </c>
      <c r="G353" s="16">
        <f ca="1" t="shared" si="36"/>
        <v>0</v>
      </c>
    </row>
    <row r="354" spans="2:7">
      <c r="B354" s="17" t="str">
        <f t="shared" si="35"/>
        <v>2/2025</v>
      </c>
      <c r="C354" s="18">
        <f t="shared" si="38"/>
        <v>45704</v>
      </c>
      <c r="D354" s="18" t="str">
        <f t="shared" si="39"/>
        <v>16/02/2025 a 22/02/2025</v>
      </c>
      <c r="E354" s="16">
        <f t="shared" si="40"/>
        <v>1670</v>
      </c>
      <c r="F354" s="16">
        <f ca="1" t="shared" si="37"/>
        <v>0</v>
      </c>
      <c r="G354" s="16">
        <f ca="1" t="shared" si="36"/>
        <v>0</v>
      </c>
    </row>
    <row r="355" spans="2:7">
      <c r="B355" s="17" t="str">
        <f t="shared" si="35"/>
        <v>2/2025</v>
      </c>
      <c r="C355" s="18">
        <f t="shared" si="38"/>
        <v>45711</v>
      </c>
      <c r="D355" s="18" t="str">
        <f t="shared" si="39"/>
        <v>23/02/2025 a 01/03/2025</v>
      </c>
      <c r="E355" s="16">
        <f>E350+24</f>
        <v>1686</v>
      </c>
      <c r="F355" s="16">
        <f ca="1" t="shared" si="37"/>
        <v>0</v>
      </c>
      <c r="G355" s="16">
        <f ca="1" t="shared" si="36"/>
        <v>0</v>
      </c>
    </row>
    <row r="356" spans="2:7">
      <c r="B356" s="17" t="str">
        <f t="shared" si="35"/>
        <v>2/2025</v>
      </c>
      <c r="C356" s="18">
        <f t="shared" si="38"/>
        <v>45711</v>
      </c>
      <c r="D356" s="18" t="str">
        <f t="shared" si="39"/>
        <v>23/02/2025 a 01/03/2025</v>
      </c>
      <c r="E356" s="16">
        <f t="shared" si="40"/>
        <v>1688</v>
      </c>
      <c r="F356" s="16">
        <f ca="1" t="shared" si="37"/>
        <v>0</v>
      </c>
      <c r="G356" s="16">
        <f ca="1" t="shared" si="36"/>
        <v>0</v>
      </c>
    </row>
    <row r="357" spans="2:7">
      <c r="B357" s="17" t="str">
        <f t="shared" si="35"/>
        <v>2/2025</v>
      </c>
      <c r="C357" s="18">
        <f t="shared" si="38"/>
        <v>45711</v>
      </c>
      <c r="D357" s="18" t="str">
        <f t="shared" si="39"/>
        <v>23/02/2025 a 01/03/2025</v>
      </c>
      <c r="E357" s="16">
        <f t="shared" si="40"/>
        <v>1690</v>
      </c>
      <c r="F357" s="16">
        <f ca="1" t="shared" si="37"/>
        <v>0</v>
      </c>
      <c r="G357" s="16">
        <f ca="1" t="shared" si="36"/>
        <v>0</v>
      </c>
    </row>
    <row r="358" spans="2:7">
      <c r="B358" s="17" t="str">
        <f t="shared" si="35"/>
        <v>2/2025</v>
      </c>
      <c r="C358" s="18">
        <f t="shared" si="38"/>
        <v>45711</v>
      </c>
      <c r="D358" s="18" t="str">
        <f t="shared" si="39"/>
        <v>23/02/2025 a 01/03/2025</v>
      </c>
      <c r="E358" s="16">
        <f t="shared" si="40"/>
        <v>1692</v>
      </c>
      <c r="F358" s="16">
        <f ca="1" t="shared" si="37"/>
        <v>0</v>
      </c>
      <c r="G358" s="16">
        <f ca="1" t="shared" si="36"/>
        <v>0</v>
      </c>
    </row>
    <row r="359" spans="2:7">
      <c r="B359" s="17" t="str">
        <f t="shared" si="35"/>
        <v>2/2025</v>
      </c>
      <c r="C359" s="18">
        <f t="shared" si="38"/>
        <v>45711</v>
      </c>
      <c r="D359" s="18" t="str">
        <f t="shared" si="39"/>
        <v>23/02/2025 a 01/03/2025</v>
      </c>
      <c r="E359" s="16">
        <f t="shared" si="40"/>
        <v>1694</v>
      </c>
      <c r="F359" s="16">
        <f ca="1" t="shared" si="37"/>
        <v>0</v>
      </c>
      <c r="G359" s="16">
        <f ca="1" t="shared" si="36"/>
        <v>0</v>
      </c>
    </row>
    <row r="360" spans="2:7">
      <c r="B360" s="17" t="str">
        <f t="shared" si="35"/>
        <v>3/2025</v>
      </c>
      <c r="C360" s="18">
        <f t="shared" si="38"/>
        <v>45718</v>
      </c>
      <c r="D360" s="18" t="str">
        <f t="shared" si="39"/>
        <v>02/03/2025 a 08/03/2025</v>
      </c>
      <c r="E360" s="16">
        <f>E355+24</f>
        <v>1710</v>
      </c>
      <c r="F360" s="16">
        <f ca="1" t="shared" si="37"/>
        <v>0</v>
      </c>
      <c r="G360" s="16">
        <f ca="1" t="shared" si="36"/>
        <v>0</v>
      </c>
    </row>
    <row r="361" spans="2:7">
      <c r="B361" s="17" t="str">
        <f t="shared" si="35"/>
        <v>3/2025</v>
      </c>
      <c r="C361" s="18">
        <f t="shared" si="38"/>
        <v>45718</v>
      </c>
      <c r="D361" s="18" t="str">
        <f t="shared" si="39"/>
        <v>02/03/2025 a 08/03/2025</v>
      </c>
      <c r="E361" s="16">
        <f t="shared" si="40"/>
        <v>1712</v>
      </c>
      <c r="F361" s="16">
        <f ca="1" t="shared" si="37"/>
        <v>0</v>
      </c>
      <c r="G361" s="16">
        <f ca="1" t="shared" si="36"/>
        <v>0</v>
      </c>
    </row>
    <row r="362" spans="2:7">
      <c r="B362" s="17" t="str">
        <f t="shared" si="35"/>
        <v>3/2025</v>
      </c>
      <c r="C362" s="18">
        <f t="shared" si="38"/>
        <v>45718</v>
      </c>
      <c r="D362" s="18" t="str">
        <f t="shared" si="39"/>
        <v>02/03/2025 a 08/03/2025</v>
      </c>
      <c r="E362" s="16">
        <f t="shared" si="40"/>
        <v>1714</v>
      </c>
      <c r="F362" s="16">
        <f ca="1" t="shared" si="37"/>
        <v>0</v>
      </c>
      <c r="G362" s="16">
        <f ca="1" t="shared" si="36"/>
        <v>0</v>
      </c>
    </row>
    <row r="363" spans="2:7">
      <c r="B363" s="17" t="str">
        <f t="shared" si="35"/>
        <v>3/2025</v>
      </c>
      <c r="C363" s="18">
        <f t="shared" si="38"/>
        <v>45718</v>
      </c>
      <c r="D363" s="18" t="str">
        <f t="shared" si="39"/>
        <v>02/03/2025 a 08/03/2025</v>
      </c>
      <c r="E363" s="16">
        <f t="shared" si="40"/>
        <v>1716</v>
      </c>
      <c r="F363" s="16">
        <f ca="1" t="shared" si="37"/>
        <v>0</v>
      </c>
      <c r="G363" s="16">
        <f ca="1" t="shared" si="36"/>
        <v>0</v>
      </c>
    </row>
    <row r="364" spans="2:7">
      <c r="B364" s="17" t="str">
        <f t="shared" si="35"/>
        <v>3/2025</v>
      </c>
      <c r="C364" s="18">
        <f t="shared" si="38"/>
        <v>45718</v>
      </c>
      <c r="D364" s="18" t="str">
        <f t="shared" si="39"/>
        <v>02/03/2025 a 08/03/2025</v>
      </c>
      <c r="E364" s="16">
        <f t="shared" si="40"/>
        <v>1718</v>
      </c>
      <c r="F364" s="16">
        <f ca="1" t="shared" si="37"/>
        <v>0</v>
      </c>
      <c r="G364" s="16">
        <f ca="1" t="shared" si="36"/>
        <v>0</v>
      </c>
    </row>
    <row r="365" spans="2:7">
      <c r="B365" s="17" t="str">
        <f t="shared" si="35"/>
        <v>3/2025</v>
      </c>
      <c r="C365" s="18">
        <f t="shared" si="38"/>
        <v>45725</v>
      </c>
      <c r="D365" s="18" t="str">
        <f t="shared" si="39"/>
        <v>09/03/2025 a 15/03/2025</v>
      </c>
      <c r="E365" s="16">
        <f>E360+24</f>
        <v>1734</v>
      </c>
      <c r="F365" s="16">
        <f ca="1" t="shared" si="37"/>
        <v>0</v>
      </c>
      <c r="G365" s="16">
        <f ca="1" t="shared" si="36"/>
        <v>0</v>
      </c>
    </row>
    <row r="366" spans="2:7">
      <c r="B366" s="17" t="str">
        <f t="shared" si="35"/>
        <v>3/2025</v>
      </c>
      <c r="C366" s="18">
        <f t="shared" si="38"/>
        <v>45725</v>
      </c>
      <c r="D366" s="18" t="str">
        <f t="shared" si="39"/>
        <v>09/03/2025 a 15/03/2025</v>
      </c>
      <c r="E366" s="16">
        <f t="shared" si="40"/>
        <v>1736</v>
      </c>
      <c r="F366" s="16">
        <f ca="1" t="shared" si="37"/>
        <v>0</v>
      </c>
      <c r="G366" s="16">
        <f ca="1" t="shared" si="36"/>
        <v>0</v>
      </c>
    </row>
    <row r="367" spans="2:7">
      <c r="B367" s="17" t="str">
        <f t="shared" si="35"/>
        <v>3/2025</v>
      </c>
      <c r="C367" s="18">
        <f t="shared" si="38"/>
        <v>45725</v>
      </c>
      <c r="D367" s="18" t="str">
        <f t="shared" si="39"/>
        <v>09/03/2025 a 15/03/2025</v>
      </c>
      <c r="E367" s="16">
        <f t="shared" si="40"/>
        <v>1738</v>
      </c>
      <c r="F367" s="16">
        <f ca="1" t="shared" si="37"/>
        <v>0</v>
      </c>
      <c r="G367" s="16">
        <f ca="1" t="shared" si="36"/>
        <v>0</v>
      </c>
    </row>
    <row r="368" spans="2:7">
      <c r="B368" s="17" t="str">
        <f t="shared" si="35"/>
        <v>3/2025</v>
      </c>
      <c r="C368" s="18">
        <f t="shared" si="38"/>
        <v>45725</v>
      </c>
      <c r="D368" s="18" t="str">
        <f t="shared" si="39"/>
        <v>09/03/2025 a 15/03/2025</v>
      </c>
      <c r="E368" s="16">
        <f t="shared" si="40"/>
        <v>1740</v>
      </c>
      <c r="F368" s="16">
        <f ca="1" t="shared" si="37"/>
        <v>0</v>
      </c>
      <c r="G368" s="16">
        <f ca="1" t="shared" si="36"/>
        <v>0</v>
      </c>
    </row>
    <row r="369" spans="2:7">
      <c r="B369" s="17" t="str">
        <f t="shared" si="35"/>
        <v>3/2025</v>
      </c>
      <c r="C369" s="18">
        <f t="shared" si="38"/>
        <v>45725</v>
      </c>
      <c r="D369" s="18" t="str">
        <f t="shared" si="39"/>
        <v>09/03/2025 a 15/03/2025</v>
      </c>
      <c r="E369" s="16">
        <f t="shared" si="40"/>
        <v>1742</v>
      </c>
      <c r="F369" s="16">
        <f ca="1" t="shared" si="37"/>
        <v>0</v>
      </c>
      <c r="G369" s="16">
        <f ca="1" t="shared" si="36"/>
        <v>0</v>
      </c>
    </row>
    <row r="370" spans="2:7">
      <c r="B370" s="17" t="str">
        <f t="shared" si="35"/>
        <v>3/2025</v>
      </c>
      <c r="C370" s="18">
        <f t="shared" si="38"/>
        <v>45732</v>
      </c>
      <c r="D370" s="18" t="str">
        <f t="shared" si="39"/>
        <v>16/03/2025 a 22/03/2025</v>
      </c>
      <c r="E370" s="16">
        <f>E365+24</f>
        <v>1758</v>
      </c>
      <c r="F370" s="16">
        <f ca="1" t="shared" si="37"/>
        <v>0</v>
      </c>
      <c r="G370" s="16">
        <f ca="1" t="shared" si="36"/>
        <v>0</v>
      </c>
    </row>
    <row r="371" spans="2:7">
      <c r="B371" s="17" t="str">
        <f t="shared" si="35"/>
        <v>3/2025</v>
      </c>
      <c r="C371" s="18">
        <f t="shared" si="38"/>
        <v>45732</v>
      </c>
      <c r="D371" s="18" t="str">
        <f t="shared" si="39"/>
        <v>16/03/2025 a 22/03/2025</v>
      </c>
      <c r="E371" s="16">
        <f t="shared" si="40"/>
        <v>1760</v>
      </c>
      <c r="F371" s="16">
        <f ca="1" t="shared" si="37"/>
        <v>0</v>
      </c>
      <c r="G371" s="16">
        <f ca="1" t="shared" si="36"/>
        <v>0</v>
      </c>
    </row>
    <row r="372" spans="2:7">
      <c r="B372" s="17" t="str">
        <f t="shared" si="35"/>
        <v>3/2025</v>
      </c>
      <c r="C372" s="18">
        <f t="shared" si="38"/>
        <v>45732</v>
      </c>
      <c r="D372" s="18" t="str">
        <f t="shared" si="39"/>
        <v>16/03/2025 a 22/03/2025</v>
      </c>
      <c r="E372" s="16">
        <f t="shared" si="40"/>
        <v>1762</v>
      </c>
      <c r="F372" s="16">
        <f ca="1" t="shared" si="37"/>
        <v>0</v>
      </c>
      <c r="G372" s="16">
        <f ca="1" t="shared" si="36"/>
        <v>0</v>
      </c>
    </row>
    <row r="373" spans="2:7">
      <c r="B373" s="17" t="str">
        <f t="shared" si="35"/>
        <v>3/2025</v>
      </c>
      <c r="C373" s="18">
        <f t="shared" si="38"/>
        <v>45732</v>
      </c>
      <c r="D373" s="18" t="str">
        <f t="shared" si="39"/>
        <v>16/03/2025 a 22/03/2025</v>
      </c>
      <c r="E373" s="16">
        <f t="shared" si="40"/>
        <v>1764</v>
      </c>
      <c r="F373" s="16">
        <f ca="1" t="shared" si="37"/>
        <v>0</v>
      </c>
      <c r="G373" s="16">
        <f ca="1" t="shared" si="36"/>
        <v>0</v>
      </c>
    </row>
    <row r="374" spans="2:7">
      <c r="B374" s="17" t="str">
        <f t="shared" si="35"/>
        <v>3/2025</v>
      </c>
      <c r="C374" s="18">
        <f t="shared" si="38"/>
        <v>45732</v>
      </c>
      <c r="D374" s="18" t="str">
        <f t="shared" si="39"/>
        <v>16/03/2025 a 22/03/2025</v>
      </c>
      <c r="E374" s="16">
        <f t="shared" si="40"/>
        <v>1766</v>
      </c>
      <c r="F374" s="16">
        <f ca="1" t="shared" si="37"/>
        <v>0</v>
      </c>
      <c r="G374" s="16">
        <f ca="1" t="shared" si="36"/>
        <v>0</v>
      </c>
    </row>
    <row r="375" spans="2:7">
      <c r="B375" s="17" t="str">
        <f t="shared" si="35"/>
        <v>3/2025</v>
      </c>
      <c r="C375" s="18">
        <f t="shared" si="38"/>
        <v>45739</v>
      </c>
      <c r="D375" s="18" t="str">
        <f t="shared" si="39"/>
        <v>23/03/2025 a 29/03/2025</v>
      </c>
      <c r="E375" s="16">
        <f>E370+24</f>
        <v>1782</v>
      </c>
      <c r="F375" s="16">
        <f ca="1" t="shared" si="37"/>
        <v>0</v>
      </c>
      <c r="G375" s="16">
        <f ca="1" t="shared" si="36"/>
        <v>0</v>
      </c>
    </row>
    <row r="376" spans="2:7">
      <c r="B376" s="17" t="str">
        <f t="shared" si="35"/>
        <v>3/2025</v>
      </c>
      <c r="C376" s="18">
        <f t="shared" si="38"/>
        <v>45739</v>
      </c>
      <c r="D376" s="18" t="str">
        <f t="shared" si="39"/>
        <v>23/03/2025 a 29/03/2025</v>
      </c>
      <c r="E376" s="16">
        <f t="shared" si="40"/>
        <v>1784</v>
      </c>
      <c r="F376" s="16">
        <f ca="1" t="shared" si="37"/>
        <v>0</v>
      </c>
      <c r="G376" s="16">
        <f ca="1" t="shared" si="36"/>
        <v>0</v>
      </c>
    </row>
    <row r="377" spans="2:7">
      <c r="B377" s="17" t="str">
        <f t="shared" ref="B377:B440" si="41">MONTH(C377)&amp;"/"&amp;YEAR(C377)</f>
        <v>3/2025</v>
      </c>
      <c r="C377" s="18">
        <f t="shared" si="38"/>
        <v>45739</v>
      </c>
      <c r="D377" s="18" t="str">
        <f t="shared" si="39"/>
        <v>23/03/2025 a 29/03/2025</v>
      </c>
      <c r="E377" s="16">
        <f t="shared" si="40"/>
        <v>1786</v>
      </c>
      <c r="F377" s="16">
        <f ca="1" t="shared" si="37"/>
        <v>0</v>
      </c>
      <c r="G377" s="16">
        <f ca="1" t="shared" ref="G377:G440" si="42">INDIRECT("'Diário'!J"&amp;E377)</f>
        <v>0</v>
      </c>
    </row>
    <row r="378" spans="2:7">
      <c r="B378" s="17" t="str">
        <f t="shared" si="41"/>
        <v>3/2025</v>
      </c>
      <c r="C378" s="18">
        <f t="shared" si="38"/>
        <v>45739</v>
      </c>
      <c r="D378" s="18" t="str">
        <f t="shared" si="39"/>
        <v>23/03/2025 a 29/03/2025</v>
      </c>
      <c r="E378" s="16">
        <f t="shared" si="40"/>
        <v>1788</v>
      </c>
      <c r="F378" s="16">
        <f ca="1" t="shared" si="37"/>
        <v>0</v>
      </c>
      <c r="G378" s="16">
        <f ca="1" t="shared" si="42"/>
        <v>0</v>
      </c>
    </row>
    <row r="379" spans="2:7">
      <c r="B379" s="17" t="str">
        <f t="shared" si="41"/>
        <v>3/2025</v>
      </c>
      <c r="C379" s="18">
        <f t="shared" si="38"/>
        <v>45739</v>
      </c>
      <c r="D379" s="18" t="str">
        <f t="shared" si="39"/>
        <v>23/03/2025 a 29/03/2025</v>
      </c>
      <c r="E379" s="16">
        <f t="shared" si="40"/>
        <v>1790</v>
      </c>
      <c r="F379" s="16">
        <f ca="1" t="shared" si="37"/>
        <v>0</v>
      </c>
      <c r="G379" s="16">
        <f ca="1" t="shared" si="42"/>
        <v>0</v>
      </c>
    </row>
    <row r="380" spans="2:7">
      <c r="B380" s="17" t="str">
        <f t="shared" si="41"/>
        <v>3/2025</v>
      </c>
      <c r="C380" s="18">
        <f t="shared" si="38"/>
        <v>45746</v>
      </c>
      <c r="D380" s="18" t="str">
        <f t="shared" si="39"/>
        <v>30/03/2025 a 05/04/2025</v>
      </c>
      <c r="E380" s="16">
        <f>E375+24</f>
        <v>1806</v>
      </c>
      <c r="F380" s="16">
        <f ca="1" t="shared" si="37"/>
        <v>0</v>
      </c>
      <c r="G380" s="16">
        <f ca="1" t="shared" si="42"/>
        <v>0</v>
      </c>
    </row>
    <row r="381" spans="2:7">
      <c r="B381" s="17" t="str">
        <f t="shared" si="41"/>
        <v>3/2025</v>
      </c>
      <c r="C381" s="18">
        <f t="shared" si="38"/>
        <v>45746</v>
      </c>
      <c r="D381" s="18" t="str">
        <f t="shared" si="39"/>
        <v>30/03/2025 a 05/04/2025</v>
      </c>
      <c r="E381" s="16">
        <f t="shared" si="40"/>
        <v>1808</v>
      </c>
      <c r="F381" s="16">
        <f ca="1" t="shared" si="37"/>
        <v>0</v>
      </c>
      <c r="G381" s="16">
        <f ca="1" t="shared" si="42"/>
        <v>0</v>
      </c>
    </row>
    <row r="382" spans="2:7">
      <c r="B382" s="17" t="str">
        <f t="shared" si="41"/>
        <v>3/2025</v>
      </c>
      <c r="C382" s="18">
        <f t="shared" si="38"/>
        <v>45746</v>
      </c>
      <c r="D382" s="18" t="str">
        <f t="shared" si="39"/>
        <v>30/03/2025 a 05/04/2025</v>
      </c>
      <c r="E382" s="16">
        <f t="shared" si="40"/>
        <v>1810</v>
      </c>
      <c r="F382" s="16">
        <f ca="1" t="shared" ref="F382:F445" si="43">INDIRECT("Diário!I"&amp;E382)</f>
        <v>0</v>
      </c>
      <c r="G382" s="16">
        <f ca="1" t="shared" si="42"/>
        <v>0</v>
      </c>
    </row>
    <row r="383" spans="2:7">
      <c r="B383" s="17" t="str">
        <f t="shared" si="41"/>
        <v>3/2025</v>
      </c>
      <c r="C383" s="18">
        <f t="shared" si="38"/>
        <v>45746</v>
      </c>
      <c r="D383" s="18" t="str">
        <f t="shared" si="39"/>
        <v>30/03/2025 a 05/04/2025</v>
      </c>
      <c r="E383" s="16">
        <f t="shared" si="40"/>
        <v>1812</v>
      </c>
      <c r="F383" s="16">
        <f ca="1" t="shared" si="43"/>
        <v>0</v>
      </c>
      <c r="G383" s="16">
        <f ca="1" t="shared" si="42"/>
        <v>0</v>
      </c>
    </row>
    <row r="384" spans="2:7">
      <c r="B384" s="17" t="str">
        <f t="shared" si="41"/>
        <v>3/2025</v>
      </c>
      <c r="C384" s="18">
        <f t="shared" si="38"/>
        <v>45746</v>
      </c>
      <c r="D384" s="18" t="str">
        <f t="shared" si="39"/>
        <v>30/03/2025 a 05/04/2025</v>
      </c>
      <c r="E384" s="16">
        <f t="shared" si="40"/>
        <v>1814</v>
      </c>
      <c r="F384" s="16">
        <f ca="1" t="shared" si="43"/>
        <v>0</v>
      </c>
      <c r="G384" s="16">
        <f ca="1" t="shared" si="42"/>
        <v>0</v>
      </c>
    </row>
    <row r="385" spans="2:7">
      <c r="B385" s="17" t="str">
        <f t="shared" si="41"/>
        <v>4/2025</v>
      </c>
      <c r="C385" s="18">
        <f t="shared" si="38"/>
        <v>45753</v>
      </c>
      <c r="D385" s="18" t="str">
        <f t="shared" si="39"/>
        <v>06/04/2025 a 12/04/2025</v>
      </c>
      <c r="E385" s="16">
        <f>E380+24</f>
        <v>1830</v>
      </c>
      <c r="F385" s="16">
        <f ca="1" t="shared" si="43"/>
        <v>0</v>
      </c>
      <c r="G385" s="16">
        <f ca="1" t="shared" si="42"/>
        <v>0</v>
      </c>
    </row>
    <row r="386" spans="2:7">
      <c r="B386" s="17" t="str">
        <f t="shared" si="41"/>
        <v>4/2025</v>
      </c>
      <c r="C386" s="18">
        <f t="shared" si="38"/>
        <v>45753</v>
      </c>
      <c r="D386" s="18" t="str">
        <f t="shared" si="39"/>
        <v>06/04/2025 a 12/04/2025</v>
      </c>
      <c r="E386" s="16">
        <f t="shared" si="40"/>
        <v>1832</v>
      </c>
      <c r="F386" s="16">
        <f ca="1" t="shared" si="43"/>
        <v>0</v>
      </c>
      <c r="G386" s="16">
        <f ca="1" t="shared" si="42"/>
        <v>0</v>
      </c>
    </row>
    <row r="387" spans="2:7">
      <c r="B387" s="17" t="str">
        <f t="shared" si="41"/>
        <v>4/2025</v>
      </c>
      <c r="C387" s="18">
        <f t="shared" si="38"/>
        <v>45753</v>
      </c>
      <c r="D387" s="18" t="str">
        <f t="shared" si="39"/>
        <v>06/04/2025 a 12/04/2025</v>
      </c>
      <c r="E387" s="16">
        <f t="shared" si="40"/>
        <v>1834</v>
      </c>
      <c r="F387" s="16">
        <f ca="1" t="shared" si="43"/>
        <v>0</v>
      </c>
      <c r="G387" s="16">
        <f ca="1" t="shared" si="42"/>
        <v>0</v>
      </c>
    </row>
    <row r="388" spans="2:7">
      <c r="B388" s="17" t="str">
        <f t="shared" si="41"/>
        <v>4/2025</v>
      </c>
      <c r="C388" s="18">
        <f t="shared" si="38"/>
        <v>45753</v>
      </c>
      <c r="D388" s="18" t="str">
        <f t="shared" si="39"/>
        <v>06/04/2025 a 12/04/2025</v>
      </c>
      <c r="E388" s="16">
        <f t="shared" si="40"/>
        <v>1836</v>
      </c>
      <c r="F388" s="16">
        <f ca="1" t="shared" si="43"/>
        <v>0</v>
      </c>
      <c r="G388" s="16">
        <f ca="1" t="shared" si="42"/>
        <v>0</v>
      </c>
    </row>
    <row r="389" spans="2:7">
      <c r="B389" s="17" t="str">
        <f t="shared" si="41"/>
        <v>4/2025</v>
      </c>
      <c r="C389" s="18">
        <f t="shared" si="38"/>
        <v>45753</v>
      </c>
      <c r="D389" s="18" t="str">
        <f t="shared" si="39"/>
        <v>06/04/2025 a 12/04/2025</v>
      </c>
      <c r="E389" s="16">
        <f t="shared" si="40"/>
        <v>1838</v>
      </c>
      <c r="F389" s="16">
        <f ca="1" t="shared" si="43"/>
        <v>0</v>
      </c>
      <c r="G389" s="16">
        <f ca="1" t="shared" si="42"/>
        <v>0</v>
      </c>
    </row>
    <row r="390" spans="2:7">
      <c r="B390" s="17" t="str">
        <f t="shared" si="41"/>
        <v>4/2025</v>
      </c>
      <c r="C390" s="18">
        <f t="shared" si="38"/>
        <v>45760</v>
      </c>
      <c r="D390" s="18" t="str">
        <f t="shared" si="39"/>
        <v>13/04/2025 a 19/04/2025</v>
      </c>
      <c r="E390" s="16">
        <f>E385+24</f>
        <v>1854</v>
      </c>
      <c r="F390" s="16">
        <f ca="1" t="shared" si="43"/>
        <v>0</v>
      </c>
      <c r="G390" s="16">
        <f ca="1" t="shared" si="42"/>
        <v>0</v>
      </c>
    </row>
    <row r="391" spans="2:7">
      <c r="B391" s="17" t="str">
        <f t="shared" si="41"/>
        <v>4/2025</v>
      </c>
      <c r="C391" s="18">
        <f t="shared" si="38"/>
        <v>45760</v>
      </c>
      <c r="D391" s="18" t="str">
        <f t="shared" si="39"/>
        <v>13/04/2025 a 19/04/2025</v>
      </c>
      <c r="E391" s="16">
        <f t="shared" si="40"/>
        <v>1856</v>
      </c>
      <c r="F391" s="16">
        <f ca="1" t="shared" si="43"/>
        <v>0</v>
      </c>
      <c r="G391" s="16">
        <f ca="1" t="shared" si="42"/>
        <v>0</v>
      </c>
    </row>
    <row r="392" spans="2:7">
      <c r="B392" s="17" t="str">
        <f t="shared" si="41"/>
        <v>4/2025</v>
      </c>
      <c r="C392" s="18">
        <f t="shared" si="38"/>
        <v>45760</v>
      </c>
      <c r="D392" s="18" t="str">
        <f t="shared" si="39"/>
        <v>13/04/2025 a 19/04/2025</v>
      </c>
      <c r="E392" s="16">
        <f t="shared" si="40"/>
        <v>1858</v>
      </c>
      <c r="F392" s="16">
        <f ca="1" t="shared" si="43"/>
        <v>0</v>
      </c>
      <c r="G392" s="16">
        <f ca="1" t="shared" si="42"/>
        <v>0</v>
      </c>
    </row>
    <row r="393" spans="2:7">
      <c r="B393" s="17" t="str">
        <f t="shared" si="41"/>
        <v>4/2025</v>
      </c>
      <c r="C393" s="18">
        <f t="shared" si="38"/>
        <v>45760</v>
      </c>
      <c r="D393" s="18" t="str">
        <f t="shared" si="39"/>
        <v>13/04/2025 a 19/04/2025</v>
      </c>
      <c r="E393" s="16">
        <f t="shared" si="40"/>
        <v>1860</v>
      </c>
      <c r="F393" s="16">
        <f ca="1" t="shared" si="43"/>
        <v>0</v>
      </c>
      <c r="G393" s="16">
        <f ca="1" t="shared" si="42"/>
        <v>0</v>
      </c>
    </row>
    <row r="394" spans="2:7">
      <c r="B394" s="17" t="str">
        <f t="shared" si="41"/>
        <v>4/2025</v>
      </c>
      <c r="C394" s="18">
        <f t="shared" si="38"/>
        <v>45760</v>
      </c>
      <c r="D394" s="18" t="str">
        <f t="shared" si="39"/>
        <v>13/04/2025 a 19/04/2025</v>
      </c>
      <c r="E394" s="16">
        <f t="shared" si="40"/>
        <v>1862</v>
      </c>
      <c r="F394" s="16">
        <f ca="1" t="shared" si="43"/>
        <v>0</v>
      </c>
      <c r="G394" s="16">
        <f ca="1" t="shared" si="42"/>
        <v>0</v>
      </c>
    </row>
    <row r="395" spans="2:7">
      <c r="B395" s="17" t="str">
        <f t="shared" si="41"/>
        <v>4/2025</v>
      </c>
      <c r="C395" s="18">
        <f t="shared" si="38"/>
        <v>45767</v>
      </c>
      <c r="D395" s="18" t="str">
        <f t="shared" si="39"/>
        <v>20/04/2025 a 26/04/2025</v>
      </c>
      <c r="E395" s="16">
        <f>E390+24</f>
        <v>1878</v>
      </c>
      <c r="F395" s="16">
        <f ca="1" t="shared" si="43"/>
        <v>0</v>
      </c>
      <c r="G395" s="16">
        <f ca="1" t="shared" si="42"/>
        <v>0</v>
      </c>
    </row>
    <row r="396" spans="2:7">
      <c r="B396" s="17" t="str">
        <f t="shared" si="41"/>
        <v>4/2025</v>
      </c>
      <c r="C396" s="18">
        <f t="shared" si="38"/>
        <v>45767</v>
      </c>
      <c r="D396" s="18" t="str">
        <f t="shared" si="39"/>
        <v>20/04/2025 a 26/04/2025</v>
      </c>
      <c r="E396" s="16">
        <f t="shared" si="40"/>
        <v>1880</v>
      </c>
      <c r="F396" s="16">
        <f ca="1" t="shared" si="43"/>
        <v>0</v>
      </c>
      <c r="G396" s="16">
        <f ca="1" t="shared" si="42"/>
        <v>0</v>
      </c>
    </row>
    <row r="397" spans="2:7">
      <c r="B397" s="17" t="str">
        <f t="shared" si="41"/>
        <v>4/2025</v>
      </c>
      <c r="C397" s="18">
        <f t="shared" si="38"/>
        <v>45767</v>
      </c>
      <c r="D397" s="18" t="str">
        <f t="shared" si="39"/>
        <v>20/04/2025 a 26/04/2025</v>
      </c>
      <c r="E397" s="16">
        <f t="shared" si="40"/>
        <v>1882</v>
      </c>
      <c r="F397" s="16">
        <f ca="1" t="shared" si="43"/>
        <v>0</v>
      </c>
      <c r="G397" s="16">
        <f ca="1" t="shared" si="42"/>
        <v>0</v>
      </c>
    </row>
    <row r="398" spans="2:7">
      <c r="B398" s="17" t="str">
        <f t="shared" si="41"/>
        <v>4/2025</v>
      </c>
      <c r="C398" s="18">
        <f t="shared" si="38"/>
        <v>45767</v>
      </c>
      <c r="D398" s="18" t="str">
        <f t="shared" si="39"/>
        <v>20/04/2025 a 26/04/2025</v>
      </c>
      <c r="E398" s="16">
        <f t="shared" si="40"/>
        <v>1884</v>
      </c>
      <c r="F398" s="16">
        <f ca="1" t="shared" si="43"/>
        <v>0</v>
      </c>
      <c r="G398" s="16">
        <f ca="1" t="shared" si="42"/>
        <v>0</v>
      </c>
    </row>
    <row r="399" spans="2:7">
      <c r="B399" s="17" t="str">
        <f t="shared" si="41"/>
        <v>4/2025</v>
      </c>
      <c r="C399" s="18">
        <f t="shared" si="38"/>
        <v>45767</v>
      </c>
      <c r="D399" s="18" t="str">
        <f t="shared" si="39"/>
        <v>20/04/2025 a 26/04/2025</v>
      </c>
      <c r="E399" s="16">
        <f t="shared" si="40"/>
        <v>1886</v>
      </c>
      <c r="F399" s="16">
        <f ca="1" t="shared" si="43"/>
        <v>0</v>
      </c>
      <c r="G399" s="16">
        <f ca="1" t="shared" si="42"/>
        <v>0</v>
      </c>
    </row>
    <row r="400" spans="2:7">
      <c r="B400" s="17" t="str">
        <f t="shared" si="41"/>
        <v>4/2025</v>
      </c>
      <c r="C400" s="18">
        <f t="shared" si="38"/>
        <v>45774</v>
      </c>
      <c r="D400" s="18" t="str">
        <f t="shared" si="39"/>
        <v>27/04/2025 a 03/05/2025</v>
      </c>
      <c r="E400" s="16">
        <f>E395+24</f>
        <v>1902</v>
      </c>
      <c r="F400" s="16">
        <f ca="1" t="shared" si="43"/>
        <v>0</v>
      </c>
      <c r="G400" s="16">
        <f ca="1" t="shared" si="42"/>
        <v>0</v>
      </c>
    </row>
    <row r="401" spans="2:7">
      <c r="B401" s="17" t="str">
        <f t="shared" si="41"/>
        <v>4/2025</v>
      </c>
      <c r="C401" s="18">
        <f t="shared" si="38"/>
        <v>45774</v>
      </c>
      <c r="D401" s="18" t="str">
        <f t="shared" si="39"/>
        <v>27/04/2025 a 03/05/2025</v>
      </c>
      <c r="E401" s="16">
        <f t="shared" si="40"/>
        <v>1904</v>
      </c>
      <c r="F401" s="16">
        <f ca="1" t="shared" si="43"/>
        <v>0</v>
      </c>
      <c r="G401" s="16">
        <f ca="1" t="shared" si="42"/>
        <v>0</v>
      </c>
    </row>
    <row r="402" spans="2:7">
      <c r="B402" s="17" t="str">
        <f t="shared" si="41"/>
        <v>4/2025</v>
      </c>
      <c r="C402" s="18">
        <f t="shared" ref="C402:C465" si="44">C397+7</f>
        <v>45774</v>
      </c>
      <c r="D402" s="18" t="str">
        <f t="shared" si="39"/>
        <v>27/04/2025 a 03/05/2025</v>
      </c>
      <c r="E402" s="16">
        <f t="shared" si="40"/>
        <v>1906</v>
      </c>
      <c r="F402" s="16">
        <f ca="1" t="shared" si="43"/>
        <v>0</v>
      </c>
      <c r="G402" s="16">
        <f ca="1" t="shared" si="42"/>
        <v>0</v>
      </c>
    </row>
    <row r="403" spans="2:7">
      <c r="B403" s="17" t="str">
        <f t="shared" si="41"/>
        <v>4/2025</v>
      </c>
      <c r="C403" s="18">
        <f t="shared" si="44"/>
        <v>45774</v>
      </c>
      <c r="D403" s="18" t="str">
        <f t="shared" ref="D403:D466" si="45">TEXT((C403),"DD/MM/AAAA")&amp;" a "&amp;TEXT((C403+6),"DD/MM/AAAA")</f>
        <v>27/04/2025 a 03/05/2025</v>
      </c>
      <c r="E403" s="16">
        <f t="shared" si="40"/>
        <v>1908</v>
      </c>
      <c r="F403" s="16">
        <f ca="1" t="shared" si="43"/>
        <v>0</v>
      </c>
      <c r="G403" s="16">
        <f ca="1" t="shared" si="42"/>
        <v>0</v>
      </c>
    </row>
    <row r="404" spans="2:7">
      <c r="B404" s="17" t="str">
        <f t="shared" si="41"/>
        <v>4/2025</v>
      </c>
      <c r="C404" s="18">
        <f t="shared" si="44"/>
        <v>45774</v>
      </c>
      <c r="D404" s="18" t="str">
        <f t="shared" si="45"/>
        <v>27/04/2025 a 03/05/2025</v>
      </c>
      <c r="E404" s="16">
        <f t="shared" si="40"/>
        <v>1910</v>
      </c>
      <c r="F404" s="16">
        <f ca="1" t="shared" si="43"/>
        <v>0</v>
      </c>
      <c r="G404" s="16">
        <f ca="1" t="shared" si="42"/>
        <v>0</v>
      </c>
    </row>
    <row r="405" spans="2:7">
      <c r="B405" s="17" t="str">
        <f t="shared" si="41"/>
        <v>5/2025</v>
      </c>
      <c r="C405" s="18">
        <f t="shared" si="44"/>
        <v>45781</v>
      </c>
      <c r="D405" s="18" t="str">
        <f t="shared" si="45"/>
        <v>04/05/2025 a 10/05/2025</v>
      </c>
      <c r="E405" s="16">
        <f>E400+24</f>
        <v>1926</v>
      </c>
      <c r="F405" s="16">
        <f ca="1" t="shared" si="43"/>
        <v>0</v>
      </c>
      <c r="G405" s="16">
        <f ca="1" t="shared" si="42"/>
        <v>0</v>
      </c>
    </row>
    <row r="406" spans="2:7">
      <c r="B406" s="17" t="str">
        <f t="shared" si="41"/>
        <v>5/2025</v>
      </c>
      <c r="C406" s="18">
        <f t="shared" si="44"/>
        <v>45781</v>
      </c>
      <c r="D406" s="18" t="str">
        <f t="shared" si="45"/>
        <v>04/05/2025 a 10/05/2025</v>
      </c>
      <c r="E406" s="16">
        <f t="shared" si="40"/>
        <v>1928</v>
      </c>
      <c r="F406" s="16">
        <f ca="1" t="shared" si="43"/>
        <v>0</v>
      </c>
      <c r="G406" s="16">
        <f ca="1" t="shared" si="42"/>
        <v>0</v>
      </c>
    </row>
    <row r="407" spans="2:7">
      <c r="B407" s="17" t="str">
        <f t="shared" si="41"/>
        <v>5/2025</v>
      </c>
      <c r="C407" s="18">
        <f t="shared" si="44"/>
        <v>45781</v>
      </c>
      <c r="D407" s="18" t="str">
        <f t="shared" si="45"/>
        <v>04/05/2025 a 10/05/2025</v>
      </c>
      <c r="E407" s="16">
        <f t="shared" si="40"/>
        <v>1930</v>
      </c>
      <c r="F407" s="16">
        <f ca="1" t="shared" si="43"/>
        <v>0</v>
      </c>
      <c r="G407" s="16">
        <f ca="1" t="shared" si="42"/>
        <v>0</v>
      </c>
    </row>
    <row r="408" spans="2:7">
      <c r="B408" s="17" t="str">
        <f t="shared" si="41"/>
        <v>5/2025</v>
      </c>
      <c r="C408" s="18">
        <f t="shared" si="44"/>
        <v>45781</v>
      </c>
      <c r="D408" s="18" t="str">
        <f t="shared" si="45"/>
        <v>04/05/2025 a 10/05/2025</v>
      </c>
      <c r="E408" s="16">
        <f t="shared" si="40"/>
        <v>1932</v>
      </c>
      <c r="F408" s="16">
        <f ca="1" t="shared" si="43"/>
        <v>0</v>
      </c>
      <c r="G408" s="16">
        <f ca="1" t="shared" si="42"/>
        <v>0</v>
      </c>
    </row>
    <row r="409" spans="2:7">
      <c r="B409" s="17" t="str">
        <f t="shared" si="41"/>
        <v>5/2025</v>
      </c>
      <c r="C409" s="18">
        <f t="shared" si="44"/>
        <v>45781</v>
      </c>
      <c r="D409" s="18" t="str">
        <f t="shared" si="45"/>
        <v>04/05/2025 a 10/05/2025</v>
      </c>
      <c r="E409" s="16">
        <f t="shared" si="40"/>
        <v>1934</v>
      </c>
      <c r="F409" s="16">
        <f ca="1" t="shared" si="43"/>
        <v>0</v>
      </c>
      <c r="G409" s="16">
        <f ca="1" t="shared" si="42"/>
        <v>0</v>
      </c>
    </row>
    <row r="410" spans="2:7">
      <c r="B410" s="17" t="str">
        <f t="shared" si="41"/>
        <v>5/2025</v>
      </c>
      <c r="C410" s="18">
        <f t="shared" si="44"/>
        <v>45788</v>
      </c>
      <c r="D410" s="18" t="str">
        <f t="shared" si="45"/>
        <v>11/05/2025 a 17/05/2025</v>
      </c>
      <c r="E410" s="16">
        <f>E405+24</f>
        <v>1950</v>
      </c>
      <c r="F410" s="16">
        <f ca="1" t="shared" si="43"/>
        <v>0</v>
      </c>
      <c r="G410" s="16">
        <f ca="1" t="shared" si="42"/>
        <v>0</v>
      </c>
    </row>
    <row r="411" spans="2:7">
      <c r="B411" s="17" t="str">
        <f t="shared" si="41"/>
        <v>5/2025</v>
      </c>
      <c r="C411" s="18">
        <f t="shared" si="44"/>
        <v>45788</v>
      </c>
      <c r="D411" s="18" t="str">
        <f t="shared" si="45"/>
        <v>11/05/2025 a 17/05/2025</v>
      </c>
      <c r="E411" s="16">
        <f t="shared" si="40"/>
        <v>1952</v>
      </c>
      <c r="F411" s="16">
        <f ca="1" t="shared" si="43"/>
        <v>0</v>
      </c>
      <c r="G411" s="16">
        <f ca="1" t="shared" si="42"/>
        <v>0</v>
      </c>
    </row>
    <row r="412" spans="2:7">
      <c r="B412" s="17" t="str">
        <f t="shared" si="41"/>
        <v>5/2025</v>
      </c>
      <c r="C412" s="18">
        <f t="shared" si="44"/>
        <v>45788</v>
      </c>
      <c r="D412" s="18" t="str">
        <f t="shared" si="45"/>
        <v>11/05/2025 a 17/05/2025</v>
      </c>
      <c r="E412" s="16">
        <f t="shared" si="40"/>
        <v>1954</v>
      </c>
      <c r="F412" s="16">
        <f ca="1" t="shared" si="43"/>
        <v>0</v>
      </c>
      <c r="G412" s="16">
        <f ca="1" t="shared" si="42"/>
        <v>0</v>
      </c>
    </row>
    <row r="413" spans="2:7">
      <c r="B413" s="17" t="str">
        <f t="shared" si="41"/>
        <v>5/2025</v>
      </c>
      <c r="C413" s="18">
        <f t="shared" si="44"/>
        <v>45788</v>
      </c>
      <c r="D413" s="18" t="str">
        <f t="shared" si="45"/>
        <v>11/05/2025 a 17/05/2025</v>
      </c>
      <c r="E413" s="16">
        <f t="shared" si="40"/>
        <v>1956</v>
      </c>
      <c r="F413" s="16">
        <f ca="1" t="shared" si="43"/>
        <v>0</v>
      </c>
      <c r="G413" s="16">
        <f ca="1" t="shared" si="42"/>
        <v>0</v>
      </c>
    </row>
    <row r="414" spans="2:7">
      <c r="B414" s="17" t="str">
        <f t="shared" si="41"/>
        <v>5/2025</v>
      </c>
      <c r="C414" s="18">
        <f t="shared" si="44"/>
        <v>45788</v>
      </c>
      <c r="D414" s="18" t="str">
        <f t="shared" si="45"/>
        <v>11/05/2025 a 17/05/2025</v>
      </c>
      <c r="E414" s="16">
        <f t="shared" si="40"/>
        <v>1958</v>
      </c>
      <c r="F414" s="16">
        <f ca="1" t="shared" si="43"/>
        <v>0</v>
      </c>
      <c r="G414" s="16">
        <f ca="1" t="shared" si="42"/>
        <v>0</v>
      </c>
    </row>
    <row r="415" spans="2:7">
      <c r="B415" s="17" t="str">
        <f t="shared" si="41"/>
        <v>5/2025</v>
      </c>
      <c r="C415" s="18">
        <f t="shared" si="44"/>
        <v>45795</v>
      </c>
      <c r="D415" s="18" t="str">
        <f t="shared" si="45"/>
        <v>18/05/2025 a 24/05/2025</v>
      </c>
      <c r="E415" s="16">
        <f>E410+24</f>
        <v>1974</v>
      </c>
      <c r="F415" s="16">
        <f ca="1" t="shared" si="43"/>
        <v>0</v>
      </c>
      <c r="G415" s="16">
        <f ca="1" t="shared" si="42"/>
        <v>0</v>
      </c>
    </row>
    <row r="416" spans="2:7">
      <c r="B416" s="17" t="str">
        <f t="shared" si="41"/>
        <v>5/2025</v>
      </c>
      <c r="C416" s="18">
        <f t="shared" si="44"/>
        <v>45795</v>
      </c>
      <c r="D416" s="18" t="str">
        <f t="shared" si="45"/>
        <v>18/05/2025 a 24/05/2025</v>
      </c>
      <c r="E416" s="16">
        <f t="shared" ref="E416:E479" si="46">E415+2</f>
        <v>1976</v>
      </c>
      <c r="F416" s="16">
        <f ca="1" t="shared" si="43"/>
        <v>0</v>
      </c>
      <c r="G416" s="16">
        <f ca="1" t="shared" si="42"/>
        <v>0</v>
      </c>
    </row>
    <row r="417" spans="2:7">
      <c r="B417" s="17" t="str">
        <f t="shared" si="41"/>
        <v>5/2025</v>
      </c>
      <c r="C417" s="18">
        <f t="shared" si="44"/>
        <v>45795</v>
      </c>
      <c r="D417" s="18" t="str">
        <f t="shared" si="45"/>
        <v>18/05/2025 a 24/05/2025</v>
      </c>
      <c r="E417" s="16">
        <f t="shared" si="46"/>
        <v>1978</v>
      </c>
      <c r="F417" s="16">
        <f ca="1" t="shared" si="43"/>
        <v>0</v>
      </c>
      <c r="G417" s="16">
        <f ca="1" t="shared" si="42"/>
        <v>0</v>
      </c>
    </row>
    <row r="418" spans="2:7">
      <c r="B418" s="17" t="str">
        <f t="shared" si="41"/>
        <v>5/2025</v>
      </c>
      <c r="C418" s="18">
        <f t="shared" si="44"/>
        <v>45795</v>
      </c>
      <c r="D418" s="18" t="str">
        <f t="shared" si="45"/>
        <v>18/05/2025 a 24/05/2025</v>
      </c>
      <c r="E418" s="16">
        <f t="shared" si="46"/>
        <v>1980</v>
      </c>
      <c r="F418" s="16">
        <f ca="1" t="shared" si="43"/>
        <v>0</v>
      </c>
      <c r="G418" s="16">
        <f ca="1" t="shared" si="42"/>
        <v>0</v>
      </c>
    </row>
    <row r="419" spans="2:7">
      <c r="B419" s="17" t="str">
        <f t="shared" si="41"/>
        <v>5/2025</v>
      </c>
      <c r="C419" s="18">
        <f t="shared" si="44"/>
        <v>45795</v>
      </c>
      <c r="D419" s="18" t="str">
        <f t="shared" si="45"/>
        <v>18/05/2025 a 24/05/2025</v>
      </c>
      <c r="E419" s="16">
        <f t="shared" si="46"/>
        <v>1982</v>
      </c>
      <c r="F419" s="16">
        <f ca="1" t="shared" si="43"/>
        <v>0</v>
      </c>
      <c r="G419" s="16">
        <f ca="1" t="shared" si="42"/>
        <v>0</v>
      </c>
    </row>
    <row r="420" spans="2:7">
      <c r="B420" s="17" t="str">
        <f t="shared" si="41"/>
        <v>5/2025</v>
      </c>
      <c r="C420" s="18">
        <f t="shared" si="44"/>
        <v>45802</v>
      </c>
      <c r="D420" s="18" t="str">
        <f t="shared" si="45"/>
        <v>25/05/2025 a 31/05/2025</v>
      </c>
      <c r="E420" s="16">
        <f>E415+24</f>
        <v>1998</v>
      </c>
      <c r="F420" s="16">
        <f ca="1" t="shared" si="43"/>
        <v>0</v>
      </c>
      <c r="G420" s="16">
        <f ca="1" t="shared" si="42"/>
        <v>0</v>
      </c>
    </row>
    <row r="421" spans="2:7">
      <c r="B421" s="17" t="str">
        <f t="shared" si="41"/>
        <v>5/2025</v>
      </c>
      <c r="C421" s="18">
        <f t="shared" si="44"/>
        <v>45802</v>
      </c>
      <c r="D421" s="18" t="str">
        <f t="shared" si="45"/>
        <v>25/05/2025 a 31/05/2025</v>
      </c>
      <c r="E421" s="16">
        <f t="shared" si="46"/>
        <v>2000</v>
      </c>
      <c r="F421" s="16">
        <f ca="1" t="shared" si="43"/>
        <v>0</v>
      </c>
      <c r="G421" s="16">
        <f ca="1" t="shared" si="42"/>
        <v>0</v>
      </c>
    </row>
    <row r="422" spans="2:7">
      <c r="B422" s="17" t="str">
        <f t="shared" si="41"/>
        <v>5/2025</v>
      </c>
      <c r="C422" s="18">
        <f t="shared" si="44"/>
        <v>45802</v>
      </c>
      <c r="D422" s="18" t="str">
        <f t="shared" si="45"/>
        <v>25/05/2025 a 31/05/2025</v>
      </c>
      <c r="E422" s="16">
        <f t="shared" si="46"/>
        <v>2002</v>
      </c>
      <c r="F422" s="16">
        <f ca="1" t="shared" si="43"/>
        <v>0</v>
      </c>
      <c r="G422" s="16">
        <f ca="1" t="shared" si="42"/>
        <v>0</v>
      </c>
    </row>
    <row r="423" spans="2:7">
      <c r="B423" s="17" t="str">
        <f t="shared" si="41"/>
        <v>5/2025</v>
      </c>
      <c r="C423" s="18">
        <f t="shared" si="44"/>
        <v>45802</v>
      </c>
      <c r="D423" s="18" t="str">
        <f t="shared" si="45"/>
        <v>25/05/2025 a 31/05/2025</v>
      </c>
      <c r="E423" s="16">
        <f t="shared" si="46"/>
        <v>2004</v>
      </c>
      <c r="F423" s="16">
        <f ca="1" t="shared" si="43"/>
        <v>0</v>
      </c>
      <c r="G423" s="16">
        <f ca="1" t="shared" si="42"/>
        <v>0</v>
      </c>
    </row>
    <row r="424" spans="2:7">
      <c r="B424" s="17" t="str">
        <f t="shared" si="41"/>
        <v>5/2025</v>
      </c>
      <c r="C424" s="18">
        <f t="shared" si="44"/>
        <v>45802</v>
      </c>
      <c r="D424" s="18" t="str">
        <f t="shared" si="45"/>
        <v>25/05/2025 a 31/05/2025</v>
      </c>
      <c r="E424" s="16">
        <f t="shared" si="46"/>
        <v>2006</v>
      </c>
      <c r="F424" s="16">
        <f ca="1" t="shared" si="43"/>
        <v>0</v>
      </c>
      <c r="G424" s="16">
        <f ca="1" t="shared" si="42"/>
        <v>0</v>
      </c>
    </row>
    <row r="425" spans="2:7">
      <c r="B425" s="17" t="str">
        <f t="shared" si="41"/>
        <v>6/2025</v>
      </c>
      <c r="C425" s="18">
        <f t="shared" si="44"/>
        <v>45809</v>
      </c>
      <c r="D425" s="18" t="str">
        <f t="shared" si="45"/>
        <v>01/06/2025 a 07/06/2025</v>
      </c>
      <c r="E425" s="16">
        <f>E420+24</f>
        <v>2022</v>
      </c>
      <c r="F425" s="16">
        <f ca="1" t="shared" si="43"/>
        <v>0</v>
      </c>
      <c r="G425" s="16">
        <f ca="1" t="shared" si="42"/>
        <v>0</v>
      </c>
    </row>
    <row r="426" spans="2:7">
      <c r="B426" s="17" t="str">
        <f t="shared" si="41"/>
        <v>6/2025</v>
      </c>
      <c r="C426" s="18">
        <f t="shared" si="44"/>
        <v>45809</v>
      </c>
      <c r="D426" s="18" t="str">
        <f t="shared" si="45"/>
        <v>01/06/2025 a 07/06/2025</v>
      </c>
      <c r="E426" s="16">
        <f t="shared" si="46"/>
        <v>2024</v>
      </c>
      <c r="F426" s="16">
        <f ca="1" t="shared" si="43"/>
        <v>0</v>
      </c>
      <c r="G426" s="16">
        <f ca="1" t="shared" si="42"/>
        <v>0</v>
      </c>
    </row>
    <row r="427" spans="2:7">
      <c r="B427" s="17" t="str">
        <f t="shared" si="41"/>
        <v>6/2025</v>
      </c>
      <c r="C427" s="18">
        <f t="shared" si="44"/>
        <v>45809</v>
      </c>
      <c r="D427" s="18" t="str">
        <f t="shared" si="45"/>
        <v>01/06/2025 a 07/06/2025</v>
      </c>
      <c r="E427" s="16">
        <f t="shared" si="46"/>
        <v>2026</v>
      </c>
      <c r="F427" s="16">
        <f ca="1" t="shared" si="43"/>
        <v>0</v>
      </c>
      <c r="G427" s="16">
        <f ca="1" t="shared" si="42"/>
        <v>0</v>
      </c>
    </row>
    <row r="428" spans="2:7">
      <c r="B428" s="17" t="str">
        <f t="shared" si="41"/>
        <v>6/2025</v>
      </c>
      <c r="C428" s="18">
        <f t="shared" si="44"/>
        <v>45809</v>
      </c>
      <c r="D428" s="18" t="str">
        <f t="shared" si="45"/>
        <v>01/06/2025 a 07/06/2025</v>
      </c>
      <c r="E428" s="16">
        <f t="shared" si="46"/>
        <v>2028</v>
      </c>
      <c r="F428" s="16">
        <f ca="1" t="shared" si="43"/>
        <v>0</v>
      </c>
      <c r="G428" s="16">
        <f ca="1" t="shared" si="42"/>
        <v>0</v>
      </c>
    </row>
    <row r="429" spans="2:7">
      <c r="B429" s="17" t="str">
        <f t="shared" si="41"/>
        <v>6/2025</v>
      </c>
      <c r="C429" s="18">
        <f t="shared" si="44"/>
        <v>45809</v>
      </c>
      <c r="D429" s="18" t="str">
        <f t="shared" si="45"/>
        <v>01/06/2025 a 07/06/2025</v>
      </c>
      <c r="E429" s="16">
        <f t="shared" si="46"/>
        <v>2030</v>
      </c>
      <c r="F429" s="16">
        <f ca="1" t="shared" si="43"/>
        <v>0</v>
      </c>
      <c r="G429" s="16">
        <f ca="1" t="shared" si="42"/>
        <v>0</v>
      </c>
    </row>
    <row r="430" spans="2:7">
      <c r="B430" s="17" t="str">
        <f t="shared" si="41"/>
        <v>6/2025</v>
      </c>
      <c r="C430" s="18">
        <f t="shared" si="44"/>
        <v>45816</v>
      </c>
      <c r="D430" s="18" t="str">
        <f t="shared" si="45"/>
        <v>08/06/2025 a 14/06/2025</v>
      </c>
      <c r="E430" s="16">
        <f>E425+24</f>
        <v>2046</v>
      </c>
      <c r="F430" s="16">
        <f ca="1" t="shared" si="43"/>
        <v>0</v>
      </c>
      <c r="G430" s="16">
        <f ca="1" t="shared" si="42"/>
        <v>0</v>
      </c>
    </row>
    <row r="431" spans="2:7">
      <c r="B431" s="17" t="str">
        <f t="shared" si="41"/>
        <v>6/2025</v>
      </c>
      <c r="C431" s="18">
        <f t="shared" si="44"/>
        <v>45816</v>
      </c>
      <c r="D431" s="18" t="str">
        <f t="shared" si="45"/>
        <v>08/06/2025 a 14/06/2025</v>
      </c>
      <c r="E431" s="16">
        <f t="shared" si="46"/>
        <v>2048</v>
      </c>
      <c r="F431" s="16">
        <f ca="1" t="shared" si="43"/>
        <v>0</v>
      </c>
      <c r="G431" s="16">
        <f ca="1" t="shared" si="42"/>
        <v>0</v>
      </c>
    </row>
    <row r="432" spans="2:7">
      <c r="B432" s="17" t="str">
        <f t="shared" si="41"/>
        <v>6/2025</v>
      </c>
      <c r="C432" s="18">
        <f t="shared" si="44"/>
        <v>45816</v>
      </c>
      <c r="D432" s="18" t="str">
        <f t="shared" si="45"/>
        <v>08/06/2025 a 14/06/2025</v>
      </c>
      <c r="E432" s="16">
        <f t="shared" si="46"/>
        <v>2050</v>
      </c>
      <c r="F432" s="16">
        <f ca="1" t="shared" si="43"/>
        <v>0</v>
      </c>
      <c r="G432" s="16">
        <f ca="1" t="shared" si="42"/>
        <v>0</v>
      </c>
    </row>
    <row r="433" spans="2:7">
      <c r="B433" s="17" t="str">
        <f t="shared" si="41"/>
        <v>6/2025</v>
      </c>
      <c r="C433" s="18">
        <f t="shared" si="44"/>
        <v>45816</v>
      </c>
      <c r="D433" s="18" t="str">
        <f t="shared" si="45"/>
        <v>08/06/2025 a 14/06/2025</v>
      </c>
      <c r="E433" s="16">
        <f t="shared" si="46"/>
        <v>2052</v>
      </c>
      <c r="F433" s="16">
        <f ca="1" t="shared" si="43"/>
        <v>0</v>
      </c>
      <c r="G433" s="16">
        <f ca="1" t="shared" si="42"/>
        <v>0</v>
      </c>
    </row>
    <row r="434" spans="2:7">
      <c r="B434" s="17" t="str">
        <f t="shared" si="41"/>
        <v>6/2025</v>
      </c>
      <c r="C434" s="18">
        <f t="shared" si="44"/>
        <v>45816</v>
      </c>
      <c r="D434" s="18" t="str">
        <f t="shared" si="45"/>
        <v>08/06/2025 a 14/06/2025</v>
      </c>
      <c r="E434" s="16">
        <f t="shared" si="46"/>
        <v>2054</v>
      </c>
      <c r="F434" s="16">
        <f ca="1" t="shared" si="43"/>
        <v>0</v>
      </c>
      <c r="G434" s="16">
        <f ca="1" t="shared" si="42"/>
        <v>0</v>
      </c>
    </row>
    <row r="435" spans="2:7">
      <c r="B435" s="17" t="str">
        <f t="shared" si="41"/>
        <v>6/2025</v>
      </c>
      <c r="C435" s="18">
        <f t="shared" si="44"/>
        <v>45823</v>
      </c>
      <c r="D435" s="18" t="str">
        <f t="shared" si="45"/>
        <v>15/06/2025 a 21/06/2025</v>
      </c>
      <c r="E435" s="16">
        <f>E430+24</f>
        <v>2070</v>
      </c>
      <c r="F435" s="16">
        <f ca="1" t="shared" si="43"/>
        <v>0</v>
      </c>
      <c r="G435" s="16">
        <f ca="1" t="shared" si="42"/>
        <v>0</v>
      </c>
    </row>
    <row r="436" spans="2:7">
      <c r="B436" s="17" t="str">
        <f t="shared" si="41"/>
        <v>6/2025</v>
      </c>
      <c r="C436" s="18">
        <f t="shared" si="44"/>
        <v>45823</v>
      </c>
      <c r="D436" s="18" t="str">
        <f t="shared" si="45"/>
        <v>15/06/2025 a 21/06/2025</v>
      </c>
      <c r="E436" s="16">
        <f t="shared" si="46"/>
        <v>2072</v>
      </c>
      <c r="F436" s="16">
        <f ca="1" t="shared" si="43"/>
        <v>0</v>
      </c>
      <c r="G436" s="16">
        <f ca="1" t="shared" si="42"/>
        <v>0</v>
      </c>
    </row>
    <row r="437" spans="2:7">
      <c r="B437" s="17" t="str">
        <f t="shared" si="41"/>
        <v>6/2025</v>
      </c>
      <c r="C437" s="18">
        <f t="shared" si="44"/>
        <v>45823</v>
      </c>
      <c r="D437" s="18" t="str">
        <f t="shared" si="45"/>
        <v>15/06/2025 a 21/06/2025</v>
      </c>
      <c r="E437" s="16">
        <f t="shared" si="46"/>
        <v>2074</v>
      </c>
      <c r="F437" s="16">
        <f ca="1" t="shared" si="43"/>
        <v>0</v>
      </c>
      <c r="G437" s="16">
        <f ca="1" t="shared" si="42"/>
        <v>0</v>
      </c>
    </row>
    <row r="438" spans="2:7">
      <c r="B438" s="17" t="str">
        <f t="shared" si="41"/>
        <v>6/2025</v>
      </c>
      <c r="C438" s="18">
        <f t="shared" si="44"/>
        <v>45823</v>
      </c>
      <c r="D438" s="18" t="str">
        <f t="shared" si="45"/>
        <v>15/06/2025 a 21/06/2025</v>
      </c>
      <c r="E438" s="16">
        <f t="shared" si="46"/>
        <v>2076</v>
      </c>
      <c r="F438" s="16">
        <f ca="1" t="shared" si="43"/>
        <v>0</v>
      </c>
      <c r="G438" s="16">
        <f ca="1" t="shared" si="42"/>
        <v>0</v>
      </c>
    </row>
    <row r="439" spans="2:7">
      <c r="B439" s="17" t="str">
        <f t="shared" si="41"/>
        <v>6/2025</v>
      </c>
      <c r="C439" s="18">
        <f t="shared" si="44"/>
        <v>45823</v>
      </c>
      <c r="D439" s="18" t="str">
        <f t="shared" si="45"/>
        <v>15/06/2025 a 21/06/2025</v>
      </c>
      <c r="E439" s="16">
        <f t="shared" si="46"/>
        <v>2078</v>
      </c>
      <c r="F439" s="16">
        <f ca="1" t="shared" si="43"/>
        <v>0</v>
      </c>
      <c r="G439" s="16">
        <f ca="1" t="shared" si="42"/>
        <v>0</v>
      </c>
    </row>
    <row r="440" spans="2:7">
      <c r="B440" s="17" t="str">
        <f t="shared" si="41"/>
        <v>6/2025</v>
      </c>
      <c r="C440" s="18">
        <f t="shared" si="44"/>
        <v>45830</v>
      </c>
      <c r="D440" s="18" t="str">
        <f t="shared" si="45"/>
        <v>22/06/2025 a 28/06/2025</v>
      </c>
      <c r="E440" s="16">
        <f>E435+24</f>
        <v>2094</v>
      </c>
      <c r="F440" s="16">
        <f ca="1" t="shared" si="43"/>
        <v>0</v>
      </c>
      <c r="G440" s="16">
        <f ca="1" t="shared" si="42"/>
        <v>0</v>
      </c>
    </row>
    <row r="441" spans="2:7">
      <c r="B441" s="17" t="str">
        <f t="shared" ref="B441:B504" si="47">MONTH(C441)&amp;"/"&amp;YEAR(C441)</f>
        <v>6/2025</v>
      </c>
      <c r="C441" s="18">
        <f t="shared" si="44"/>
        <v>45830</v>
      </c>
      <c r="D441" s="18" t="str">
        <f t="shared" si="45"/>
        <v>22/06/2025 a 28/06/2025</v>
      </c>
      <c r="E441" s="16">
        <f t="shared" si="46"/>
        <v>2096</v>
      </c>
      <c r="F441" s="16">
        <f ca="1" t="shared" si="43"/>
        <v>0</v>
      </c>
      <c r="G441" s="16">
        <f ca="1" t="shared" ref="G441:G504" si="48">INDIRECT("'Diário'!J"&amp;E441)</f>
        <v>0</v>
      </c>
    </row>
    <row r="442" spans="2:7">
      <c r="B442" s="17" t="str">
        <f t="shared" si="47"/>
        <v>6/2025</v>
      </c>
      <c r="C442" s="18">
        <f t="shared" si="44"/>
        <v>45830</v>
      </c>
      <c r="D442" s="18" t="str">
        <f t="shared" si="45"/>
        <v>22/06/2025 a 28/06/2025</v>
      </c>
      <c r="E442" s="16">
        <f t="shared" si="46"/>
        <v>2098</v>
      </c>
      <c r="F442" s="16">
        <f ca="1" t="shared" si="43"/>
        <v>0</v>
      </c>
      <c r="G442" s="16">
        <f ca="1" t="shared" si="48"/>
        <v>0</v>
      </c>
    </row>
    <row r="443" spans="2:7">
      <c r="B443" s="17" t="str">
        <f t="shared" si="47"/>
        <v>6/2025</v>
      </c>
      <c r="C443" s="18">
        <f t="shared" si="44"/>
        <v>45830</v>
      </c>
      <c r="D443" s="18" t="str">
        <f t="shared" si="45"/>
        <v>22/06/2025 a 28/06/2025</v>
      </c>
      <c r="E443" s="16">
        <f t="shared" si="46"/>
        <v>2100</v>
      </c>
      <c r="F443" s="16">
        <f ca="1" t="shared" si="43"/>
        <v>0</v>
      </c>
      <c r="G443" s="16">
        <f ca="1" t="shared" si="48"/>
        <v>0</v>
      </c>
    </row>
    <row r="444" spans="2:7">
      <c r="B444" s="17" t="str">
        <f t="shared" si="47"/>
        <v>6/2025</v>
      </c>
      <c r="C444" s="18">
        <f t="shared" si="44"/>
        <v>45830</v>
      </c>
      <c r="D444" s="18" t="str">
        <f t="shared" si="45"/>
        <v>22/06/2025 a 28/06/2025</v>
      </c>
      <c r="E444" s="16">
        <f t="shared" si="46"/>
        <v>2102</v>
      </c>
      <c r="F444" s="16">
        <f ca="1" t="shared" si="43"/>
        <v>0</v>
      </c>
      <c r="G444" s="16">
        <f ca="1" t="shared" si="48"/>
        <v>0</v>
      </c>
    </row>
    <row r="445" spans="2:7">
      <c r="B445" s="17" t="str">
        <f t="shared" si="47"/>
        <v>6/2025</v>
      </c>
      <c r="C445" s="18">
        <f t="shared" si="44"/>
        <v>45837</v>
      </c>
      <c r="D445" s="18" t="str">
        <f t="shared" si="45"/>
        <v>29/06/2025 a 05/07/2025</v>
      </c>
      <c r="E445" s="16">
        <f>E440+24</f>
        <v>2118</v>
      </c>
      <c r="F445" s="16">
        <f ca="1" t="shared" si="43"/>
        <v>0</v>
      </c>
      <c r="G445" s="16">
        <f ca="1" t="shared" si="48"/>
        <v>0</v>
      </c>
    </row>
    <row r="446" spans="2:7">
      <c r="B446" s="17" t="str">
        <f t="shared" si="47"/>
        <v>6/2025</v>
      </c>
      <c r="C446" s="18">
        <f t="shared" si="44"/>
        <v>45837</v>
      </c>
      <c r="D446" s="18" t="str">
        <f t="shared" si="45"/>
        <v>29/06/2025 a 05/07/2025</v>
      </c>
      <c r="E446" s="16">
        <f t="shared" si="46"/>
        <v>2120</v>
      </c>
      <c r="F446" s="16">
        <f ca="1" t="shared" ref="F446:F509" si="49">INDIRECT("Diário!I"&amp;E446)</f>
        <v>0</v>
      </c>
      <c r="G446" s="16">
        <f ca="1" t="shared" si="48"/>
        <v>0</v>
      </c>
    </row>
    <row r="447" spans="2:7">
      <c r="B447" s="17" t="str">
        <f t="shared" si="47"/>
        <v>6/2025</v>
      </c>
      <c r="C447" s="18">
        <f t="shared" si="44"/>
        <v>45837</v>
      </c>
      <c r="D447" s="18" t="str">
        <f t="shared" si="45"/>
        <v>29/06/2025 a 05/07/2025</v>
      </c>
      <c r="E447" s="16">
        <f t="shared" si="46"/>
        <v>2122</v>
      </c>
      <c r="F447" s="16">
        <f ca="1" t="shared" si="49"/>
        <v>0</v>
      </c>
      <c r="G447" s="16">
        <f ca="1" t="shared" si="48"/>
        <v>0</v>
      </c>
    </row>
    <row r="448" spans="2:7">
      <c r="B448" s="17" t="str">
        <f t="shared" si="47"/>
        <v>6/2025</v>
      </c>
      <c r="C448" s="18">
        <f t="shared" si="44"/>
        <v>45837</v>
      </c>
      <c r="D448" s="18" t="str">
        <f t="shared" si="45"/>
        <v>29/06/2025 a 05/07/2025</v>
      </c>
      <c r="E448" s="16">
        <f t="shared" si="46"/>
        <v>2124</v>
      </c>
      <c r="F448" s="16">
        <f ca="1" t="shared" si="49"/>
        <v>0</v>
      </c>
      <c r="G448" s="16">
        <f ca="1" t="shared" si="48"/>
        <v>0</v>
      </c>
    </row>
    <row r="449" spans="2:7">
      <c r="B449" s="17" t="str">
        <f t="shared" si="47"/>
        <v>6/2025</v>
      </c>
      <c r="C449" s="18">
        <f t="shared" si="44"/>
        <v>45837</v>
      </c>
      <c r="D449" s="18" t="str">
        <f t="shared" si="45"/>
        <v>29/06/2025 a 05/07/2025</v>
      </c>
      <c r="E449" s="16">
        <f t="shared" si="46"/>
        <v>2126</v>
      </c>
      <c r="F449" s="16">
        <f ca="1" t="shared" si="49"/>
        <v>0</v>
      </c>
      <c r="G449" s="16">
        <f ca="1" t="shared" si="48"/>
        <v>0</v>
      </c>
    </row>
    <row r="450" spans="2:7">
      <c r="B450" s="17" t="str">
        <f t="shared" si="47"/>
        <v>7/2025</v>
      </c>
      <c r="C450" s="18">
        <f t="shared" si="44"/>
        <v>45844</v>
      </c>
      <c r="D450" s="18" t="str">
        <f t="shared" si="45"/>
        <v>06/07/2025 a 12/07/2025</v>
      </c>
      <c r="E450" s="16">
        <f>E445+24</f>
        <v>2142</v>
      </c>
      <c r="F450" s="16">
        <f ca="1" t="shared" si="49"/>
        <v>0</v>
      </c>
      <c r="G450" s="16">
        <f ca="1" t="shared" si="48"/>
        <v>0</v>
      </c>
    </row>
    <row r="451" spans="2:7">
      <c r="B451" s="17" t="str">
        <f t="shared" si="47"/>
        <v>7/2025</v>
      </c>
      <c r="C451" s="18">
        <f t="shared" si="44"/>
        <v>45844</v>
      </c>
      <c r="D451" s="18" t="str">
        <f t="shared" si="45"/>
        <v>06/07/2025 a 12/07/2025</v>
      </c>
      <c r="E451" s="16">
        <f t="shared" si="46"/>
        <v>2144</v>
      </c>
      <c r="F451" s="16">
        <f ca="1" t="shared" si="49"/>
        <v>0</v>
      </c>
      <c r="G451" s="16">
        <f ca="1" t="shared" si="48"/>
        <v>0</v>
      </c>
    </row>
    <row r="452" spans="2:7">
      <c r="B452" s="17" t="str">
        <f t="shared" si="47"/>
        <v>7/2025</v>
      </c>
      <c r="C452" s="18">
        <f t="shared" si="44"/>
        <v>45844</v>
      </c>
      <c r="D452" s="18" t="str">
        <f t="shared" si="45"/>
        <v>06/07/2025 a 12/07/2025</v>
      </c>
      <c r="E452" s="16">
        <f t="shared" si="46"/>
        <v>2146</v>
      </c>
      <c r="F452" s="16">
        <f ca="1" t="shared" si="49"/>
        <v>0</v>
      </c>
      <c r="G452" s="16">
        <f ca="1" t="shared" si="48"/>
        <v>0</v>
      </c>
    </row>
    <row r="453" spans="2:7">
      <c r="B453" s="17" t="str">
        <f t="shared" si="47"/>
        <v>7/2025</v>
      </c>
      <c r="C453" s="18">
        <f t="shared" si="44"/>
        <v>45844</v>
      </c>
      <c r="D453" s="18" t="str">
        <f t="shared" si="45"/>
        <v>06/07/2025 a 12/07/2025</v>
      </c>
      <c r="E453" s="16">
        <f t="shared" si="46"/>
        <v>2148</v>
      </c>
      <c r="F453" s="16">
        <f ca="1" t="shared" si="49"/>
        <v>0</v>
      </c>
      <c r="G453" s="16">
        <f ca="1" t="shared" si="48"/>
        <v>0</v>
      </c>
    </row>
    <row r="454" spans="2:7">
      <c r="B454" s="17" t="str">
        <f t="shared" si="47"/>
        <v>7/2025</v>
      </c>
      <c r="C454" s="18">
        <f t="shared" si="44"/>
        <v>45844</v>
      </c>
      <c r="D454" s="18" t="str">
        <f t="shared" si="45"/>
        <v>06/07/2025 a 12/07/2025</v>
      </c>
      <c r="E454" s="16">
        <f t="shared" si="46"/>
        <v>2150</v>
      </c>
      <c r="F454" s="16">
        <f ca="1" t="shared" si="49"/>
        <v>0</v>
      </c>
      <c r="G454" s="16">
        <f ca="1" t="shared" si="48"/>
        <v>0</v>
      </c>
    </row>
    <row r="455" spans="2:7">
      <c r="B455" s="17" t="str">
        <f t="shared" si="47"/>
        <v>7/2025</v>
      </c>
      <c r="C455" s="18">
        <f t="shared" si="44"/>
        <v>45851</v>
      </c>
      <c r="D455" s="18" t="str">
        <f t="shared" si="45"/>
        <v>13/07/2025 a 19/07/2025</v>
      </c>
      <c r="E455" s="16">
        <f>E450+24</f>
        <v>2166</v>
      </c>
      <c r="F455" s="16">
        <f ca="1" t="shared" si="49"/>
        <v>0</v>
      </c>
      <c r="G455" s="16">
        <f ca="1" t="shared" si="48"/>
        <v>0</v>
      </c>
    </row>
    <row r="456" spans="2:7">
      <c r="B456" s="17" t="str">
        <f t="shared" si="47"/>
        <v>7/2025</v>
      </c>
      <c r="C456" s="18">
        <f t="shared" si="44"/>
        <v>45851</v>
      </c>
      <c r="D456" s="18" t="str">
        <f t="shared" si="45"/>
        <v>13/07/2025 a 19/07/2025</v>
      </c>
      <c r="E456" s="16">
        <f t="shared" si="46"/>
        <v>2168</v>
      </c>
      <c r="F456" s="16">
        <f ca="1" t="shared" si="49"/>
        <v>0</v>
      </c>
      <c r="G456" s="16">
        <f ca="1" t="shared" si="48"/>
        <v>0</v>
      </c>
    </row>
    <row r="457" spans="2:7">
      <c r="B457" s="17" t="str">
        <f t="shared" si="47"/>
        <v>7/2025</v>
      </c>
      <c r="C457" s="18">
        <f t="shared" si="44"/>
        <v>45851</v>
      </c>
      <c r="D457" s="18" t="str">
        <f t="shared" si="45"/>
        <v>13/07/2025 a 19/07/2025</v>
      </c>
      <c r="E457" s="16">
        <f t="shared" si="46"/>
        <v>2170</v>
      </c>
      <c r="F457" s="16">
        <f ca="1" t="shared" si="49"/>
        <v>0</v>
      </c>
      <c r="G457" s="16">
        <f ca="1" t="shared" si="48"/>
        <v>0</v>
      </c>
    </row>
    <row r="458" spans="2:7">
      <c r="B458" s="17" t="str">
        <f t="shared" si="47"/>
        <v>7/2025</v>
      </c>
      <c r="C458" s="18">
        <f t="shared" si="44"/>
        <v>45851</v>
      </c>
      <c r="D458" s="18" t="str">
        <f t="shared" si="45"/>
        <v>13/07/2025 a 19/07/2025</v>
      </c>
      <c r="E458" s="16">
        <f t="shared" si="46"/>
        <v>2172</v>
      </c>
      <c r="F458" s="16">
        <f ca="1" t="shared" si="49"/>
        <v>0</v>
      </c>
      <c r="G458" s="16">
        <f ca="1" t="shared" si="48"/>
        <v>0</v>
      </c>
    </row>
    <row r="459" spans="2:7">
      <c r="B459" s="17" t="str">
        <f t="shared" si="47"/>
        <v>7/2025</v>
      </c>
      <c r="C459" s="18">
        <f t="shared" si="44"/>
        <v>45851</v>
      </c>
      <c r="D459" s="18" t="str">
        <f t="shared" si="45"/>
        <v>13/07/2025 a 19/07/2025</v>
      </c>
      <c r="E459" s="16">
        <f t="shared" si="46"/>
        <v>2174</v>
      </c>
      <c r="F459" s="16">
        <f ca="1" t="shared" si="49"/>
        <v>0</v>
      </c>
      <c r="G459" s="16">
        <f ca="1" t="shared" si="48"/>
        <v>0</v>
      </c>
    </row>
    <row r="460" spans="2:7">
      <c r="B460" s="17" t="str">
        <f t="shared" si="47"/>
        <v>7/2025</v>
      </c>
      <c r="C460" s="18">
        <f t="shared" si="44"/>
        <v>45858</v>
      </c>
      <c r="D460" s="18" t="str">
        <f t="shared" si="45"/>
        <v>20/07/2025 a 26/07/2025</v>
      </c>
      <c r="E460" s="16">
        <f>E455+24</f>
        <v>2190</v>
      </c>
      <c r="F460" s="16">
        <f ca="1" t="shared" si="49"/>
        <v>0</v>
      </c>
      <c r="G460" s="16">
        <f ca="1" t="shared" si="48"/>
        <v>0</v>
      </c>
    </row>
    <row r="461" spans="2:7">
      <c r="B461" s="17" t="str">
        <f t="shared" si="47"/>
        <v>7/2025</v>
      </c>
      <c r="C461" s="18">
        <f t="shared" si="44"/>
        <v>45858</v>
      </c>
      <c r="D461" s="18" t="str">
        <f t="shared" si="45"/>
        <v>20/07/2025 a 26/07/2025</v>
      </c>
      <c r="E461" s="16">
        <f t="shared" si="46"/>
        <v>2192</v>
      </c>
      <c r="F461" s="16">
        <f ca="1" t="shared" si="49"/>
        <v>0</v>
      </c>
      <c r="G461" s="16">
        <f ca="1" t="shared" si="48"/>
        <v>0</v>
      </c>
    </row>
    <row r="462" spans="2:7">
      <c r="B462" s="17" t="str">
        <f t="shared" si="47"/>
        <v>7/2025</v>
      </c>
      <c r="C462" s="18">
        <f t="shared" si="44"/>
        <v>45858</v>
      </c>
      <c r="D462" s="18" t="str">
        <f t="shared" si="45"/>
        <v>20/07/2025 a 26/07/2025</v>
      </c>
      <c r="E462" s="16">
        <f t="shared" si="46"/>
        <v>2194</v>
      </c>
      <c r="F462" s="16">
        <f ca="1" t="shared" si="49"/>
        <v>0</v>
      </c>
      <c r="G462" s="16">
        <f ca="1" t="shared" si="48"/>
        <v>0</v>
      </c>
    </row>
    <row r="463" spans="2:7">
      <c r="B463" s="17" t="str">
        <f t="shared" si="47"/>
        <v>7/2025</v>
      </c>
      <c r="C463" s="18">
        <f t="shared" si="44"/>
        <v>45858</v>
      </c>
      <c r="D463" s="18" t="str">
        <f t="shared" si="45"/>
        <v>20/07/2025 a 26/07/2025</v>
      </c>
      <c r="E463" s="16">
        <f t="shared" si="46"/>
        <v>2196</v>
      </c>
      <c r="F463" s="16">
        <f ca="1" t="shared" si="49"/>
        <v>0</v>
      </c>
      <c r="G463" s="16">
        <f ca="1" t="shared" si="48"/>
        <v>0</v>
      </c>
    </row>
    <row r="464" spans="2:7">
      <c r="B464" s="17" t="str">
        <f t="shared" si="47"/>
        <v>7/2025</v>
      </c>
      <c r="C464" s="18">
        <f t="shared" si="44"/>
        <v>45858</v>
      </c>
      <c r="D464" s="18" t="str">
        <f t="shared" si="45"/>
        <v>20/07/2025 a 26/07/2025</v>
      </c>
      <c r="E464" s="16">
        <f t="shared" si="46"/>
        <v>2198</v>
      </c>
      <c r="F464" s="16">
        <f ca="1" t="shared" si="49"/>
        <v>0</v>
      </c>
      <c r="G464" s="16">
        <f ca="1" t="shared" si="48"/>
        <v>0</v>
      </c>
    </row>
    <row r="465" spans="2:7">
      <c r="B465" s="17" t="str">
        <f t="shared" si="47"/>
        <v>7/2025</v>
      </c>
      <c r="C465" s="18">
        <f t="shared" si="44"/>
        <v>45865</v>
      </c>
      <c r="D465" s="18" t="str">
        <f t="shared" si="45"/>
        <v>27/07/2025 a 02/08/2025</v>
      </c>
      <c r="E465" s="16">
        <f>E460+24</f>
        <v>2214</v>
      </c>
      <c r="F465" s="16">
        <f ca="1" t="shared" si="49"/>
        <v>0</v>
      </c>
      <c r="G465" s="16">
        <f ca="1" t="shared" si="48"/>
        <v>0</v>
      </c>
    </row>
    <row r="466" spans="2:7">
      <c r="B466" s="17" t="str">
        <f t="shared" si="47"/>
        <v>7/2025</v>
      </c>
      <c r="C466" s="18">
        <f t="shared" ref="C466:C529" si="50">C461+7</f>
        <v>45865</v>
      </c>
      <c r="D466" s="18" t="str">
        <f t="shared" si="45"/>
        <v>27/07/2025 a 02/08/2025</v>
      </c>
      <c r="E466" s="16">
        <f t="shared" si="46"/>
        <v>2216</v>
      </c>
      <c r="F466" s="16">
        <f ca="1" t="shared" si="49"/>
        <v>0</v>
      </c>
      <c r="G466" s="16">
        <f ca="1" t="shared" si="48"/>
        <v>0</v>
      </c>
    </row>
    <row r="467" spans="2:7">
      <c r="B467" s="17" t="str">
        <f t="shared" si="47"/>
        <v>7/2025</v>
      </c>
      <c r="C467" s="18">
        <f t="shared" si="50"/>
        <v>45865</v>
      </c>
      <c r="D467" s="18" t="str">
        <f t="shared" ref="D467:D530" si="51">TEXT((C467),"DD/MM/AAAA")&amp;" a "&amp;TEXT((C467+6),"DD/MM/AAAA")</f>
        <v>27/07/2025 a 02/08/2025</v>
      </c>
      <c r="E467" s="16">
        <f t="shared" si="46"/>
        <v>2218</v>
      </c>
      <c r="F467" s="16">
        <f ca="1" t="shared" si="49"/>
        <v>0</v>
      </c>
      <c r="G467" s="16">
        <f ca="1" t="shared" si="48"/>
        <v>0</v>
      </c>
    </row>
    <row r="468" spans="2:7">
      <c r="B468" s="17" t="str">
        <f t="shared" si="47"/>
        <v>7/2025</v>
      </c>
      <c r="C468" s="18">
        <f t="shared" si="50"/>
        <v>45865</v>
      </c>
      <c r="D468" s="18" t="str">
        <f t="shared" si="51"/>
        <v>27/07/2025 a 02/08/2025</v>
      </c>
      <c r="E468" s="16">
        <f t="shared" si="46"/>
        <v>2220</v>
      </c>
      <c r="F468" s="16">
        <f ca="1" t="shared" si="49"/>
        <v>0</v>
      </c>
      <c r="G468" s="16">
        <f ca="1" t="shared" si="48"/>
        <v>0</v>
      </c>
    </row>
    <row r="469" spans="2:7">
      <c r="B469" s="17" t="str">
        <f t="shared" si="47"/>
        <v>7/2025</v>
      </c>
      <c r="C469" s="18">
        <f t="shared" si="50"/>
        <v>45865</v>
      </c>
      <c r="D469" s="18" t="str">
        <f t="shared" si="51"/>
        <v>27/07/2025 a 02/08/2025</v>
      </c>
      <c r="E469" s="16">
        <f t="shared" si="46"/>
        <v>2222</v>
      </c>
      <c r="F469" s="16">
        <f ca="1" t="shared" si="49"/>
        <v>0</v>
      </c>
      <c r="G469" s="16">
        <f ca="1" t="shared" si="48"/>
        <v>0</v>
      </c>
    </row>
    <row r="470" spans="2:7">
      <c r="B470" s="17" t="str">
        <f t="shared" si="47"/>
        <v>8/2025</v>
      </c>
      <c r="C470" s="18">
        <f t="shared" si="50"/>
        <v>45872</v>
      </c>
      <c r="D470" s="18" t="str">
        <f t="shared" si="51"/>
        <v>03/08/2025 a 09/08/2025</v>
      </c>
      <c r="E470" s="16">
        <f>E465+24</f>
        <v>2238</v>
      </c>
      <c r="F470" s="16">
        <f ca="1" t="shared" si="49"/>
        <v>0</v>
      </c>
      <c r="G470" s="16">
        <f ca="1" t="shared" si="48"/>
        <v>0</v>
      </c>
    </row>
    <row r="471" spans="2:7">
      <c r="B471" s="17" t="str">
        <f t="shared" si="47"/>
        <v>8/2025</v>
      </c>
      <c r="C471" s="18">
        <f t="shared" si="50"/>
        <v>45872</v>
      </c>
      <c r="D471" s="18" t="str">
        <f t="shared" si="51"/>
        <v>03/08/2025 a 09/08/2025</v>
      </c>
      <c r="E471" s="16">
        <f t="shared" si="46"/>
        <v>2240</v>
      </c>
      <c r="F471" s="16">
        <f ca="1" t="shared" si="49"/>
        <v>0</v>
      </c>
      <c r="G471" s="16">
        <f ca="1" t="shared" si="48"/>
        <v>0</v>
      </c>
    </row>
    <row r="472" spans="2:7">
      <c r="B472" s="17" t="str">
        <f t="shared" si="47"/>
        <v>8/2025</v>
      </c>
      <c r="C472" s="18">
        <f t="shared" si="50"/>
        <v>45872</v>
      </c>
      <c r="D472" s="18" t="str">
        <f t="shared" si="51"/>
        <v>03/08/2025 a 09/08/2025</v>
      </c>
      <c r="E472" s="16">
        <f t="shared" si="46"/>
        <v>2242</v>
      </c>
      <c r="F472" s="16">
        <f ca="1" t="shared" si="49"/>
        <v>0</v>
      </c>
      <c r="G472" s="16">
        <f ca="1" t="shared" si="48"/>
        <v>0</v>
      </c>
    </row>
    <row r="473" spans="2:7">
      <c r="B473" s="17" t="str">
        <f t="shared" si="47"/>
        <v>8/2025</v>
      </c>
      <c r="C473" s="18">
        <f t="shared" si="50"/>
        <v>45872</v>
      </c>
      <c r="D473" s="18" t="str">
        <f t="shared" si="51"/>
        <v>03/08/2025 a 09/08/2025</v>
      </c>
      <c r="E473" s="16">
        <f t="shared" si="46"/>
        <v>2244</v>
      </c>
      <c r="F473" s="16">
        <f ca="1" t="shared" si="49"/>
        <v>0</v>
      </c>
      <c r="G473" s="16">
        <f ca="1" t="shared" si="48"/>
        <v>0</v>
      </c>
    </row>
    <row r="474" spans="2:7">
      <c r="B474" s="17" t="str">
        <f t="shared" si="47"/>
        <v>8/2025</v>
      </c>
      <c r="C474" s="18">
        <f t="shared" si="50"/>
        <v>45872</v>
      </c>
      <c r="D474" s="18" t="str">
        <f t="shared" si="51"/>
        <v>03/08/2025 a 09/08/2025</v>
      </c>
      <c r="E474" s="16">
        <f t="shared" si="46"/>
        <v>2246</v>
      </c>
      <c r="F474" s="16">
        <f ca="1" t="shared" si="49"/>
        <v>0</v>
      </c>
      <c r="G474" s="16">
        <f ca="1" t="shared" si="48"/>
        <v>0</v>
      </c>
    </row>
    <row r="475" spans="2:7">
      <c r="B475" s="17" t="str">
        <f t="shared" si="47"/>
        <v>8/2025</v>
      </c>
      <c r="C475" s="18">
        <f t="shared" si="50"/>
        <v>45879</v>
      </c>
      <c r="D475" s="18" t="str">
        <f t="shared" si="51"/>
        <v>10/08/2025 a 16/08/2025</v>
      </c>
      <c r="E475" s="16">
        <f>E470+24</f>
        <v>2262</v>
      </c>
      <c r="F475" s="16">
        <f ca="1" t="shared" si="49"/>
        <v>0</v>
      </c>
      <c r="G475" s="16">
        <f ca="1" t="shared" si="48"/>
        <v>0</v>
      </c>
    </row>
    <row r="476" spans="2:7">
      <c r="B476" s="17" t="str">
        <f t="shared" si="47"/>
        <v>8/2025</v>
      </c>
      <c r="C476" s="18">
        <f t="shared" si="50"/>
        <v>45879</v>
      </c>
      <c r="D476" s="18" t="str">
        <f t="shared" si="51"/>
        <v>10/08/2025 a 16/08/2025</v>
      </c>
      <c r="E476" s="16">
        <f t="shared" si="46"/>
        <v>2264</v>
      </c>
      <c r="F476" s="16">
        <f ca="1" t="shared" si="49"/>
        <v>0</v>
      </c>
      <c r="G476" s="16">
        <f ca="1" t="shared" si="48"/>
        <v>0</v>
      </c>
    </row>
    <row r="477" spans="2:7">
      <c r="B477" s="17" t="str">
        <f t="shared" si="47"/>
        <v>8/2025</v>
      </c>
      <c r="C477" s="18">
        <f t="shared" si="50"/>
        <v>45879</v>
      </c>
      <c r="D477" s="18" t="str">
        <f t="shared" si="51"/>
        <v>10/08/2025 a 16/08/2025</v>
      </c>
      <c r="E477" s="16">
        <f t="shared" si="46"/>
        <v>2266</v>
      </c>
      <c r="F477" s="16">
        <f ca="1" t="shared" si="49"/>
        <v>0</v>
      </c>
      <c r="G477" s="16">
        <f ca="1" t="shared" si="48"/>
        <v>0</v>
      </c>
    </row>
    <row r="478" spans="2:7">
      <c r="B478" s="17" t="str">
        <f t="shared" si="47"/>
        <v>8/2025</v>
      </c>
      <c r="C478" s="18">
        <f t="shared" si="50"/>
        <v>45879</v>
      </c>
      <c r="D478" s="18" t="str">
        <f t="shared" si="51"/>
        <v>10/08/2025 a 16/08/2025</v>
      </c>
      <c r="E478" s="16">
        <f t="shared" si="46"/>
        <v>2268</v>
      </c>
      <c r="F478" s="16">
        <f ca="1" t="shared" si="49"/>
        <v>0</v>
      </c>
      <c r="G478" s="16">
        <f ca="1" t="shared" si="48"/>
        <v>0</v>
      </c>
    </row>
    <row r="479" spans="2:7">
      <c r="B479" s="17" t="str">
        <f t="shared" si="47"/>
        <v>8/2025</v>
      </c>
      <c r="C479" s="18">
        <f t="shared" si="50"/>
        <v>45879</v>
      </c>
      <c r="D479" s="18" t="str">
        <f t="shared" si="51"/>
        <v>10/08/2025 a 16/08/2025</v>
      </c>
      <c r="E479" s="16">
        <f t="shared" si="46"/>
        <v>2270</v>
      </c>
      <c r="F479" s="16">
        <f ca="1" t="shared" si="49"/>
        <v>0</v>
      </c>
      <c r="G479" s="16">
        <f ca="1" t="shared" si="48"/>
        <v>0</v>
      </c>
    </row>
    <row r="480" spans="2:7">
      <c r="B480" s="17" t="str">
        <f t="shared" si="47"/>
        <v>8/2025</v>
      </c>
      <c r="C480" s="18">
        <f t="shared" si="50"/>
        <v>45886</v>
      </c>
      <c r="D480" s="18" t="str">
        <f t="shared" si="51"/>
        <v>17/08/2025 a 23/08/2025</v>
      </c>
      <c r="E480" s="16">
        <f>E475+24</f>
        <v>2286</v>
      </c>
      <c r="F480" s="16">
        <f ca="1" t="shared" si="49"/>
        <v>0</v>
      </c>
      <c r="G480" s="16">
        <f ca="1" t="shared" si="48"/>
        <v>0</v>
      </c>
    </row>
    <row r="481" spans="2:7">
      <c r="B481" s="17" t="str">
        <f t="shared" si="47"/>
        <v>8/2025</v>
      </c>
      <c r="C481" s="18">
        <f t="shared" si="50"/>
        <v>45886</v>
      </c>
      <c r="D481" s="18" t="str">
        <f t="shared" si="51"/>
        <v>17/08/2025 a 23/08/2025</v>
      </c>
      <c r="E481" s="16">
        <f t="shared" ref="E481:E544" si="52">E480+2</f>
        <v>2288</v>
      </c>
      <c r="F481" s="16">
        <f ca="1" t="shared" si="49"/>
        <v>0</v>
      </c>
      <c r="G481" s="16">
        <f ca="1" t="shared" si="48"/>
        <v>0</v>
      </c>
    </row>
    <row r="482" spans="2:7">
      <c r="B482" s="17" t="str">
        <f t="shared" si="47"/>
        <v>8/2025</v>
      </c>
      <c r="C482" s="18">
        <f t="shared" si="50"/>
        <v>45886</v>
      </c>
      <c r="D482" s="18" t="str">
        <f t="shared" si="51"/>
        <v>17/08/2025 a 23/08/2025</v>
      </c>
      <c r="E482" s="16">
        <f t="shared" si="52"/>
        <v>2290</v>
      </c>
      <c r="F482" s="16">
        <f ca="1" t="shared" si="49"/>
        <v>0</v>
      </c>
      <c r="G482" s="16">
        <f ca="1" t="shared" si="48"/>
        <v>0</v>
      </c>
    </row>
    <row r="483" spans="2:7">
      <c r="B483" s="17" t="str">
        <f t="shared" si="47"/>
        <v>8/2025</v>
      </c>
      <c r="C483" s="18">
        <f t="shared" si="50"/>
        <v>45886</v>
      </c>
      <c r="D483" s="18" t="str">
        <f t="shared" si="51"/>
        <v>17/08/2025 a 23/08/2025</v>
      </c>
      <c r="E483" s="16">
        <f t="shared" si="52"/>
        <v>2292</v>
      </c>
      <c r="F483" s="16">
        <f ca="1" t="shared" si="49"/>
        <v>0</v>
      </c>
      <c r="G483" s="16">
        <f ca="1" t="shared" si="48"/>
        <v>0</v>
      </c>
    </row>
    <row r="484" spans="2:7">
      <c r="B484" s="17" t="str">
        <f t="shared" si="47"/>
        <v>8/2025</v>
      </c>
      <c r="C484" s="18">
        <f t="shared" si="50"/>
        <v>45886</v>
      </c>
      <c r="D484" s="18" t="str">
        <f t="shared" si="51"/>
        <v>17/08/2025 a 23/08/2025</v>
      </c>
      <c r="E484" s="16">
        <f t="shared" si="52"/>
        <v>2294</v>
      </c>
      <c r="F484" s="16">
        <f ca="1" t="shared" si="49"/>
        <v>0</v>
      </c>
      <c r="G484" s="16">
        <f ca="1" t="shared" si="48"/>
        <v>0</v>
      </c>
    </row>
    <row r="485" spans="2:7">
      <c r="B485" s="17" t="str">
        <f t="shared" si="47"/>
        <v>8/2025</v>
      </c>
      <c r="C485" s="18">
        <f t="shared" si="50"/>
        <v>45893</v>
      </c>
      <c r="D485" s="18" t="str">
        <f t="shared" si="51"/>
        <v>24/08/2025 a 30/08/2025</v>
      </c>
      <c r="E485" s="16">
        <f>E480+24</f>
        <v>2310</v>
      </c>
      <c r="F485" s="16">
        <f ca="1" t="shared" si="49"/>
        <v>0</v>
      </c>
      <c r="G485" s="16">
        <f ca="1" t="shared" si="48"/>
        <v>0</v>
      </c>
    </row>
    <row r="486" spans="2:7">
      <c r="B486" s="17" t="str">
        <f t="shared" si="47"/>
        <v>8/2025</v>
      </c>
      <c r="C486" s="18">
        <f t="shared" si="50"/>
        <v>45893</v>
      </c>
      <c r="D486" s="18" t="str">
        <f t="shared" si="51"/>
        <v>24/08/2025 a 30/08/2025</v>
      </c>
      <c r="E486" s="16">
        <f t="shared" si="52"/>
        <v>2312</v>
      </c>
      <c r="F486" s="16">
        <f ca="1" t="shared" si="49"/>
        <v>0</v>
      </c>
      <c r="G486" s="16">
        <f ca="1" t="shared" si="48"/>
        <v>0</v>
      </c>
    </row>
    <row r="487" spans="2:7">
      <c r="B487" s="17" t="str">
        <f t="shared" si="47"/>
        <v>8/2025</v>
      </c>
      <c r="C487" s="18">
        <f t="shared" si="50"/>
        <v>45893</v>
      </c>
      <c r="D487" s="18" t="str">
        <f t="shared" si="51"/>
        <v>24/08/2025 a 30/08/2025</v>
      </c>
      <c r="E487" s="16">
        <f t="shared" si="52"/>
        <v>2314</v>
      </c>
      <c r="F487" s="16">
        <f ca="1" t="shared" si="49"/>
        <v>0</v>
      </c>
      <c r="G487" s="16">
        <f ca="1" t="shared" si="48"/>
        <v>0</v>
      </c>
    </row>
    <row r="488" spans="2:7">
      <c r="B488" s="17" t="str">
        <f t="shared" si="47"/>
        <v>8/2025</v>
      </c>
      <c r="C488" s="18">
        <f t="shared" si="50"/>
        <v>45893</v>
      </c>
      <c r="D488" s="18" t="str">
        <f t="shared" si="51"/>
        <v>24/08/2025 a 30/08/2025</v>
      </c>
      <c r="E488" s="16">
        <f t="shared" si="52"/>
        <v>2316</v>
      </c>
      <c r="F488" s="16">
        <f ca="1" t="shared" si="49"/>
        <v>0</v>
      </c>
      <c r="G488" s="16">
        <f ca="1" t="shared" si="48"/>
        <v>0</v>
      </c>
    </row>
    <row r="489" spans="2:7">
      <c r="B489" s="17" t="str">
        <f t="shared" si="47"/>
        <v>8/2025</v>
      </c>
      <c r="C489" s="18">
        <f t="shared" si="50"/>
        <v>45893</v>
      </c>
      <c r="D489" s="18" t="str">
        <f t="shared" si="51"/>
        <v>24/08/2025 a 30/08/2025</v>
      </c>
      <c r="E489" s="16">
        <f t="shared" si="52"/>
        <v>2318</v>
      </c>
      <c r="F489" s="16">
        <f ca="1" t="shared" si="49"/>
        <v>0</v>
      </c>
      <c r="G489" s="16">
        <f ca="1" t="shared" si="48"/>
        <v>0</v>
      </c>
    </row>
    <row r="490" spans="2:7">
      <c r="B490" s="17" t="str">
        <f t="shared" si="47"/>
        <v>8/2025</v>
      </c>
      <c r="C490" s="18">
        <f t="shared" si="50"/>
        <v>45900</v>
      </c>
      <c r="D490" s="18" t="str">
        <f t="shared" si="51"/>
        <v>31/08/2025 a 06/09/2025</v>
      </c>
      <c r="E490" s="16">
        <f>E485+24</f>
        <v>2334</v>
      </c>
      <c r="F490" s="16">
        <f ca="1" t="shared" si="49"/>
        <v>0</v>
      </c>
      <c r="G490" s="16">
        <f ca="1" t="shared" si="48"/>
        <v>0</v>
      </c>
    </row>
    <row r="491" spans="2:7">
      <c r="B491" s="17" t="str">
        <f t="shared" si="47"/>
        <v>8/2025</v>
      </c>
      <c r="C491" s="18">
        <f t="shared" si="50"/>
        <v>45900</v>
      </c>
      <c r="D491" s="18" t="str">
        <f t="shared" si="51"/>
        <v>31/08/2025 a 06/09/2025</v>
      </c>
      <c r="E491" s="16">
        <f t="shared" si="52"/>
        <v>2336</v>
      </c>
      <c r="F491" s="16">
        <f ca="1" t="shared" si="49"/>
        <v>0</v>
      </c>
      <c r="G491" s="16">
        <f ca="1" t="shared" si="48"/>
        <v>0</v>
      </c>
    </row>
    <row r="492" spans="2:7">
      <c r="B492" s="17" t="str">
        <f t="shared" si="47"/>
        <v>8/2025</v>
      </c>
      <c r="C492" s="18">
        <f t="shared" si="50"/>
        <v>45900</v>
      </c>
      <c r="D492" s="18" t="str">
        <f t="shared" si="51"/>
        <v>31/08/2025 a 06/09/2025</v>
      </c>
      <c r="E492" s="16">
        <f t="shared" si="52"/>
        <v>2338</v>
      </c>
      <c r="F492" s="16">
        <f ca="1" t="shared" si="49"/>
        <v>0</v>
      </c>
      <c r="G492" s="16">
        <f ca="1" t="shared" si="48"/>
        <v>0</v>
      </c>
    </row>
    <row r="493" spans="2:7">
      <c r="B493" s="17" t="str">
        <f t="shared" si="47"/>
        <v>8/2025</v>
      </c>
      <c r="C493" s="18">
        <f t="shared" si="50"/>
        <v>45900</v>
      </c>
      <c r="D493" s="18" t="str">
        <f t="shared" si="51"/>
        <v>31/08/2025 a 06/09/2025</v>
      </c>
      <c r="E493" s="16">
        <f t="shared" si="52"/>
        <v>2340</v>
      </c>
      <c r="F493" s="16">
        <f ca="1" t="shared" si="49"/>
        <v>0</v>
      </c>
      <c r="G493" s="16">
        <f ca="1" t="shared" si="48"/>
        <v>0</v>
      </c>
    </row>
    <row r="494" spans="2:7">
      <c r="B494" s="17" t="str">
        <f t="shared" si="47"/>
        <v>8/2025</v>
      </c>
      <c r="C494" s="18">
        <f t="shared" si="50"/>
        <v>45900</v>
      </c>
      <c r="D494" s="18" t="str">
        <f t="shared" si="51"/>
        <v>31/08/2025 a 06/09/2025</v>
      </c>
      <c r="E494" s="16">
        <f t="shared" si="52"/>
        <v>2342</v>
      </c>
      <c r="F494" s="16">
        <f ca="1" t="shared" si="49"/>
        <v>0</v>
      </c>
      <c r="G494" s="16">
        <f ca="1" t="shared" si="48"/>
        <v>0</v>
      </c>
    </row>
    <row r="495" spans="2:7">
      <c r="B495" s="17" t="str">
        <f t="shared" si="47"/>
        <v>9/2025</v>
      </c>
      <c r="C495" s="18">
        <f t="shared" si="50"/>
        <v>45907</v>
      </c>
      <c r="D495" s="18" t="str">
        <f t="shared" si="51"/>
        <v>07/09/2025 a 13/09/2025</v>
      </c>
      <c r="E495" s="16">
        <f>E490+24</f>
        <v>2358</v>
      </c>
      <c r="F495" s="16">
        <f ca="1" t="shared" si="49"/>
        <v>0</v>
      </c>
      <c r="G495" s="16">
        <f ca="1" t="shared" si="48"/>
        <v>0</v>
      </c>
    </row>
    <row r="496" spans="2:7">
      <c r="B496" s="17" t="str">
        <f t="shared" si="47"/>
        <v>9/2025</v>
      </c>
      <c r="C496" s="18">
        <f t="shared" si="50"/>
        <v>45907</v>
      </c>
      <c r="D496" s="18" t="str">
        <f t="shared" si="51"/>
        <v>07/09/2025 a 13/09/2025</v>
      </c>
      <c r="E496" s="16">
        <f t="shared" si="52"/>
        <v>2360</v>
      </c>
      <c r="F496" s="16">
        <f ca="1" t="shared" si="49"/>
        <v>0</v>
      </c>
      <c r="G496" s="16">
        <f ca="1" t="shared" si="48"/>
        <v>0</v>
      </c>
    </row>
    <row r="497" spans="2:7">
      <c r="B497" s="17" t="str">
        <f t="shared" si="47"/>
        <v>9/2025</v>
      </c>
      <c r="C497" s="18">
        <f t="shared" si="50"/>
        <v>45907</v>
      </c>
      <c r="D497" s="18" t="str">
        <f t="shared" si="51"/>
        <v>07/09/2025 a 13/09/2025</v>
      </c>
      <c r="E497" s="16">
        <f t="shared" si="52"/>
        <v>2362</v>
      </c>
      <c r="F497" s="16">
        <f ca="1" t="shared" si="49"/>
        <v>0</v>
      </c>
      <c r="G497" s="16">
        <f ca="1" t="shared" si="48"/>
        <v>0</v>
      </c>
    </row>
    <row r="498" spans="2:7">
      <c r="B498" s="17" t="str">
        <f t="shared" si="47"/>
        <v>9/2025</v>
      </c>
      <c r="C498" s="18">
        <f t="shared" si="50"/>
        <v>45907</v>
      </c>
      <c r="D498" s="18" t="str">
        <f t="shared" si="51"/>
        <v>07/09/2025 a 13/09/2025</v>
      </c>
      <c r="E498" s="16">
        <f t="shared" si="52"/>
        <v>2364</v>
      </c>
      <c r="F498" s="16">
        <f ca="1" t="shared" si="49"/>
        <v>0</v>
      </c>
      <c r="G498" s="16">
        <f ca="1" t="shared" si="48"/>
        <v>0</v>
      </c>
    </row>
    <row r="499" spans="2:7">
      <c r="B499" s="17" t="str">
        <f t="shared" si="47"/>
        <v>9/2025</v>
      </c>
      <c r="C499" s="18">
        <f t="shared" si="50"/>
        <v>45907</v>
      </c>
      <c r="D499" s="18" t="str">
        <f t="shared" si="51"/>
        <v>07/09/2025 a 13/09/2025</v>
      </c>
      <c r="E499" s="16">
        <f t="shared" si="52"/>
        <v>2366</v>
      </c>
      <c r="F499" s="16">
        <f ca="1" t="shared" si="49"/>
        <v>0</v>
      </c>
      <c r="G499" s="16">
        <f ca="1" t="shared" si="48"/>
        <v>0</v>
      </c>
    </row>
    <row r="500" spans="2:7">
      <c r="B500" s="17" t="str">
        <f t="shared" si="47"/>
        <v>9/2025</v>
      </c>
      <c r="C500" s="18">
        <f t="shared" si="50"/>
        <v>45914</v>
      </c>
      <c r="D500" s="18" t="str">
        <f t="shared" si="51"/>
        <v>14/09/2025 a 20/09/2025</v>
      </c>
      <c r="E500" s="16">
        <f>E495+24</f>
        <v>2382</v>
      </c>
      <c r="F500" s="16">
        <f ca="1" t="shared" si="49"/>
        <v>0</v>
      </c>
      <c r="G500" s="16">
        <f ca="1" t="shared" si="48"/>
        <v>0</v>
      </c>
    </row>
    <row r="501" spans="2:7">
      <c r="B501" s="17" t="str">
        <f t="shared" si="47"/>
        <v>9/2025</v>
      </c>
      <c r="C501" s="18">
        <f t="shared" si="50"/>
        <v>45914</v>
      </c>
      <c r="D501" s="18" t="str">
        <f t="shared" si="51"/>
        <v>14/09/2025 a 20/09/2025</v>
      </c>
      <c r="E501" s="16">
        <f t="shared" si="52"/>
        <v>2384</v>
      </c>
      <c r="F501" s="16">
        <f ca="1" t="shared" si="49"/>
        <v>0</v>
      </c>
      <c r="G501" s="16">
        <f ca="1" t="shared" si="48"/>
        <v>0</v>
      </c>
    </row>
    <row r="502" spans="2:7">
      <c r="B502" s="17" t="str">
        <f t="shared" si="47"/>
        <v>9/2025</v>
      </c>
      <c r="C502" s="18">
        <f t="shared" si="50"/>
        <v>45914</v>
      </c>
      <c r="D502" s="18" t="str">
        <f t="shared" si="51"/>
        <v>14/09/2025 a 20/09/2025</v>
      </c>
      <c r="E502" s="16">
        <f t="shared" si="52"/>
        <v>2386</v>
      </c>
      <c r="F502" s="16">
        <f ca="1" t="shared" si="49"/>
        <v>0</v>
      </c>
      <c r="G502" s="16">
        <f ca="1" t="shared" si="48"/>
        <v>0</v>
      </c>
    </row>
    <row r="503" spans="2:7">
      <c r="B503" s="17" t="str">
        <f t="shared" si="47"/>
        <v>9/2025</v>
      </c>
      <c r="C503" s="18">
        <f t="shared" si="50"/>
        <v>45914</v>
      </c>
      <c r="D503" s="18" t="str">
        <f t="shared" si="51"/>
        <v>14/09/2025 a 20/09/2025</v>
      </c>
      <c r="E503" s="16">
        <f t="shared" si="52"/>
        <v>2388</v>
      </c>
      <c r="F503" s="16">
        <f ca="1" t="shared" si="49"/>
        <v>0</v>
      </c>
      <c r="G503" s="16">
        <f ca="1" t="shared" si="48"/>
        <v>0</v>
      </c>
    </row>
    <row r="504" spans="2:7">
      <c r="B504" s="17" t="str">
        <f t="shared" si="47"/>
        <v>9/2025</v>
      </c>
      <c r="C504" s="18">
        <f t="shared" si="50"/>
        <v>45914</v>
      </c>
      <c r="D504" s="18" t="str">
        <f t="shared" si="51"/>
        <v>14/09/2025 a 20/09/2025</v>
      </c>
      <c r="E504" s="16">
        <f t="shared" si="52"/>
        <v>2390</v>
      </c>
      <c r="F504" s="16">
        <f ca="1" t="shared" si="49"/>
        <v>0</v>
      </c>
      <c r="G504" s="16">
        <f ca="1" t="shared" si="48"/>
        <v>0</v>
      </c>
    </row>
    <row r="505" spans="2:7">
      <c r="B505" s="17" t="str">
        <f t="shared" ref="B505:B568" si="53">MONTH(C505)&amp;"/"&amp;YEAR(C505)</f>
        <v>9/2025</v>
      </c>
      <c r="C505" s="18">
        <f t="shared" si="50"/>
        <v>45921</v>
      </c>
      <c r="D505" s="18" t="str">
        <f t="shared" si="51"/>
        <v>21/09/2025 a 27/09/2025</v>
      </c>
      <c r="E505" s="16">
        <f>E500+24</f>
        <v>2406</v>
      </c>
      <c r="F505" s="16">
        <f ca="1" t="shared" si="49"/>
        <v>0</v>
      </c>
      <c r="G505" s="16">
        <f ca="1" t="shared" ref="G505:G568" si="54">INDIRECT("'Diário'!J"&amp;E505)</f>
        <v>0</v>
      </c>
    </row>
    <row r="506" spans="2:7">
      <c r="B506" s="17" t="str">
        <f t="shared" si="53"/>
        <v>9/2025</v>
      </c>
      <c r="C506" s="18">
        <f t="shared" si="50"/>
        <v>45921</v>
      </c>
      <c r="D506" s="18" t="str">
        <f t="shared" si="51"/>
        <v>21/09/2025 a 27/09/2025</v>
      </c>
      <c r="E506" s="16">
        <f t="shared" si="52"/>
        <v>2408</v>
      </c>
      <c r="F506" s="16">
        <f ca="1" t="shared" si="49"/>
        <v>0</v>
      </c>
      <c r="G506" s="16">
        <f ca="1" t="shared" si="54"/>
        <v>0</v>
      </c>
    </row>
    <row r="507" spans="2:7">
      <c r="B507" s="17" t="str">
        <f t="shared" si="53"/>
        <v>9/2025</v>
      </c>
      <c r="C507" s="18">
        <f t="shared" si="50"/>
        <v>45921</v>
      </c>
      <c r="D507" s="18" t="str">
        <f t="shared" si="51"/>
        <v>21/09/2025 a 27/09/2025</v>
      </c>
      <c r="E507" s="16">
        <f t="shared" si="52"/>
        <v>2410</v>
      </c>
      <c r="F507" s="16">
        <f ca="1" t="shared" si="49"/>
        <v>0</v>
      </c>
      <c r="G507" s="16">
        <f ca="1" t="shared" si="54"/>
        <v>0</v>
      </c>
    </row>
    <row r="508" spans="2:7">
      <c r="B508" s="17" t="str">
        <f t="shared" si="53"/>
        <v>9/2025</v>
      </c>
      <c r="C508" s="18">
        <f t="shared" si="50"/>
        <v>45921</v>
      </c>
      <c r="D508" s="18" t="str">
        <f t="shared" si="51"/>
        <v>21/09/2025 a 27/09/2025</v>
      </c>
      <c r="E508" s="16">
        <f t="shared" si="52"/>
        <v>2412</v>
      </c>
      <c r="F508" s="16">
        <f ca="1" t="shared" si="49"/>
        <v>0</v>
      </c>
      <c r="G508" s="16">
        <f ca="1" t="shared" si="54"/>
        <v>0</v>
      </c>
    </row>
    <row r="509" spans="2:7">
      <c r="B509" s="17" t="str">
        <f t="shared" si="53"/>
        <v>9/2025</v>
      </c>
      <c r="C509" s="18">
        <f t="shared" si="50"/>
        <v>45921</v>
      </c>
      <c r="D509" s="18" t="str">
        <f t="shared" si="51"/>
        <v>21/09/2025 a 27/09/2025</v>
      </c>
      <c r="E509" s="16">
        <f t="shared" si="52"/>
        <v>2414</v>
      </c>
      <c r="F509" s="16">
        <f ca="1" t="shared" si="49"/>
        <v>0</v>
      </c>
      <c r="G509" s="16">
        <f ca="1" t="shared" si="54"/>
        <v>0</v>
      </c>
    </row>
    <row r="510" spans="2:7">
      <c r="B510" s="17" t="str">
        <f t="shared" si="53"/>
        <v>9/2025</v>
      </c>
      <c r="C510" s="18">
        <f t="shared" si="50"/>
        <v>45928</v>
      </c>
      <c r="D510" s="18" t="str">
        <f t="shared" si="51"/>
        <v>28/09/2025 a 04/10/2025</v>
      </c>
      <c r="E510" s="16">
        <f>E505+24</f>
        <v>2430</v>
      </c>
      <c r="F510" s="16">
        <f ca="1" t="shared" ref="F510:F573" si="55">INDIRECT("Diário!I"&amp;E510)</f>
        <v>0</v>
      </c>
      <c r="G510" s="16">
        <f ca="1" t="shared" si="54"/>
        <v>0</v>
      </c>
    </row>
    <row r="511" spans="2:7">
      <c r="B511" s="17" t="str">
        <f t="shared" si="53"/>
        <v>9/2025</v>
      </c>
      <c r="C511" s="18">
        <f t="shared" si="50"/>
        <v>45928</v>
      </c>
      <c r="D511" s="18" t="str">
        <f t="shared" si="51"/>
        <v>28/09/2025 a 04/10/2025</v>
      </c>
      <c r="E511" s="16">
        <f t="shared" si="52"/>
        <v>2432</v>
      </c>
      <c r="F511" s="16">
        <f ca="1" t="shared" si="55"/>
        <v>0</v>
      </c>
      <c r="G511" s="16">
        <f ca="1" t="shared" si="54"/>
        <v>0</v>
      </c>
    </row>
    <row r="512" spans="2:7">
      <c r="B512" s="17" t="str">
        <f t="shared" si="53"/>
        <v>9/2025</v>
      </c>
      <c r="C512" s="18">
        <f t="shared" si="50"/>
        <v>45928</v>
      </c>
      <c r="D512" s="18" t="str">
        <f t="shared" si="51"/>
        <v>28/09/2025 a 04/10/2025</v>
      </c>
      <c r="E512" s="16">
        <f t="shared" si="52"/>
        <v>2434</v>
      </c>
      <c r="F512" s="16">
        <f ca="1" t="shared" si="55"/>
        <v>0</v>
      </c>
      <c r="G512" s="16">
        <f ca="1" t="shared" si="54"/>
        <v>0</v>
      </c>
    </row>
    <row r="513" spans="2:7">
      <c r="B513" s="17" t="str">
        <f t="shared" si="53"/>
        <v>9/2025</v>
      </c>
      <c r="C513" s="18">
        <f t="shared" si="50"/>
        <v>45928</v>
      </c>
      <c r="D513" s="18" t="str">
        <f t="shared" si="51"/>
        <v>28/09/2025 a 04/10/2025</v>
      </c>
      <c r="E513" s="16">
        <f t="shared" si="52"/>
        <v>2436</v>
      </c>
      <c r="F513" s="16">
        <f ca="1" t="shared" si="55"/>
        <v>0</v>
      </c>
      <c r="G513" s="16">
        <f ca="1" t="shared" si="54"/>
        <v>0</v>
      </c>
    </row>
    <row r="514" spans="2:7">
      <c r="B514" s="17" t="str">
        <f t="shared" si="53"/>
        <v>9/2025</v>
      </c>
      <c r="C514" s="18">
        <f t="shared" si="50"/>
        <v>45928</v>
      </c>
      <c r="D514" s="18" t="str">
        <f t="shared" si="51"/>
        <v>28/09/2025 a 04/10/2025</v>
      </c>
      <c r="E514" s="16">
        <f t="shared" si="52"/>
        <v>2438</v>
      </c>
      <c r="F514" s="16">
        <f ca="1" t="shared" si="55"/>
        <v>0</v>
      </c>
      <c r="G514" s="16">
        <f ca="1" t="shared" si="54"/>
        <v>0</v>
      </c>
    </row>
    <row r="515" spans="2:7">
      <c r="B515" s="17" t="str">
        <f t="shared" si="53"/>
        <v>10/2025</v>
      </c>
      <c r="C515" s="18">
        <f t="shared" si="50"/>
        <v>45935</v>
      </c>
      <c r="D515" s="18" t="str">
        <f t="shared" si="51"/>
        <v>05/10/2025 a 11/10/2025</v>
      </c>
      <c r="E515" s="16">
        <f>E510+24</f>
        <v>2454</v>
      </c>
      <c r="F515" s="16">
        <f ca="1" t="shared" si="55"/>
        <v>0</v>
      </c>
      <c r="G515" s="16">
        <f ca="1" t="shared" si="54"/>
        <v>0</v>
      </c>
    </row>
    <row r="516" spans="2:7">
      <c r="B516" s="17" t="str">
        <f t="shared" si="53"/>
        <v>10/2025</v>
      </c>
      <c r="C516" s="18">
        <f t="shared" si="50"/>
        <v>45935</v>
      </c>
      <c r="D516" s="18" t="str">
        <f t="shared" si="51"/>
        <v>05/10/2025 a 11/10/2025</v>
      </c>
      <c r="E516" s="16">
        <f t="shared" si="52"/>
        <v>2456</v>
      </c>
      <c r="F516" s="16">
        <f ca="1" t="shared" si="55"/>
        <v>0</v>
      </c>
      <c r="G516" s="16">
        <f ca="1" t="shared" si="54"/>
        <v>0</v>
      </c>
    </row>
    <row r="517" spans="2:7">
      <c r="B517" s="17" t="str">
        <f t="shared" si="53"/>
        <v>10/2025</v>
      </c>
      <c r="C517" s="18">
        <f t="shared" si="50"/>
        <v>45935</v>
      </c>
      <c r="D517" s="18" t="str">
        <f t="shared" si="51"/>
        <v>05/10/2025 a 11/10/2025</v>
      </c>
      <c r="E517" s="16">
        <f t="shared" si="52"/>
        <v>2458</v>
      </c>
      <c r="F517" s="16">
        <f ca="1" t="shared" si="55"/>
        <v>0</v>
      </c>
      <c r="G517" s="16">
        <f ca="1" t="shared" si="54"/>
        <v>0</v>
      </c>
    </row>
    <row r="518" spans="2:7">
      <c r="B518" s="17" t="str">
        <f t="shared" si="53"/>
        <v>10/2025</v>
      </c>
      <c r="C518" s="18">
        <f t="shared" si="50"/>
        <v>45935</v>
      </c>
      <c r="D518" s="18" t="str">
        <f t="shared" si="51"/>
        <v>05/10/2025 a 11/10/2025</v>
      </c>
      <c r="E518" s="16">
        <f t="shared" si="52"/>
        <v>2460</v>
      </c>
      <c r="F518" s="16">
        <f ca="1" t="shared" si="55"/>
        <v>0</v>
      </c>
      <c r="G518" s="16">
        <f ca="1" t="shared" si="54"/>
        <v>0</v>
      </c>
    </row>
    <row r="519" spans="2:7">
      <c r="B519" s="17" t="str">
        <f t="shared" si="53"/>
        <v>10/2025</v>
      </c>
      <c r="C519" s="18">
        <f t="shared" si="50"/>
        <v>45935</v>
      </c>
      <c r="D519" s="18" t="str">
        <f t="shared" si="51"/>
        <v>05/10/2025 a 11/10/2025</v>
      </c>
      <c r="E519" s="16">
        <f t="shared" si="52"/>
        <v>2462</v>
      </c>
      <c r="F519" s="16">
        <f ca="1" t="shared" si="55"/>
        <v>0</v>
      </c>
      <c r="G519" s="16">
        <f ca="1" t="shared" si="54"/>
        <v>0</v>
      </c>
    </row>
    <row r="520" spans="2:7">
      <c r="B520" s="17" t="str">
        <f t="shared" si="53"/>
        <v>10/2025</v>
      </c>
      <c r="C520" s="18">
        <f t="shared" si="50"/>
        <v>45942</v>
      </c>
      <c r="D520" s="18" t="str">
        <f t="shared" si="51"/>
        <v>12/10/2025 a 18/10/2025</v>
      </c>
      <c r="E520" s="16">
        <f>E515+24</f>
        <v>2478</v>
      </c>
      <c r="F520" s="16">
        <f ca="1" t="shared" si="55"/>
        <v>0</v>
      </c>
      <c r="G520" s="16">
        <f ca="1" t="shared" si="54"/>
        <v>0</v>
      </c>
    </row>
    <row r="521" spans="2:7">
      <c r="B521" s="17" t="str">
        <f t="shared" si="53"/>
        <v>10/2025</v>
      </c>
      <c r="C521" s="18">
        <f t="shared" si="50"/>
        <v>45942</v>
      </c>
      <c r="D521" s="18" t="str">
        <f t="shared" si="51"/>
        <v>12/10/2025 a 18/10/2025</v>
      </c>
      <c r="E521" s="16">
        <f t="shared" si="52"/>
        <v>2480</v>
      </c>
      <c r="F521" s="16">
        <f ca="1" t="shared" si="55"/>
        <v>0</v>
      </c>
      <c r="G521" s="16">
        <f ca="1" t="shared" si="54"/>
        <v>0</v>
      </c>
    </row>
    <row r="522" spans="2:7">
      <c r="B522" s="17" t="str">
        <f t="shared" si="53"/>
        <v>10/2025</v>
      </c>
      <c r="C522" s="18">
        <f t="shared" si="50"/>
        <v>45942</v>
      </c>
      <c r="D522" s="18" t="str">
        <f t="shared" si="51"/>
        <v>12/10/2025 a 18/10/2025</v>
      </c>
      <c r="E522" s="16">
        <f t="shared" si="52"/>
        <v>2482</v>
      </c>
      <c r="F522" s="16">
        <f ca="1" t="shared" si="55"/>
        <v>0</v>
      </c>
      <c r="G522" s="16">
        <f ca="1" t="shared" si="54"/>
        <v>0</v>
      </c>
    </row>
    <row r="523" spans="2:7">
      <c r="B523" s="17" t="str">
        <f t="shared" si="53"/>
        <v>10/2025</v>
      </c>
      <c r="C523" s="18">
        <f t="shared" si="50"/>
        <v>45942</v>
      </c>
      <c r="D523" s="18" t="str">
        <f t="shared" si="51"/>
        <v>12/10/2025 a 18/10/2025</v>
      </c>
      <c r="E523" s="16">
        <f t="shared" si="52"/>
        <v>2484</v>
      </c>
      <c r="F523" s="16">
        <f ca="1" t="shared" si="55"/>
        <v>0</v>
      </c>
      <c r="G523" s="16">
        <f ca="1" t="shared" si="54"/>
        <v>0</v>
      </c>
    </row>
    <row r="524" spans="2:7">
      <c r="B524" s="17" t="str">
        <f t="shared" si="53"/>
        <v>10/2025</v>
      </c>
      <c r="C524" s="18">
        <f t="shared" si="50"/>
        <v>45942</v>
      </c>
      <c r="D524" s="18" t="str">
        <f t="shared" si="51"/>
        <v>12/10/2025 a 18/10/2025</v>
      </c>
      <c r="E524" s="16">
        <f t="shared" si="52"/>
        <v>2486</v>
      </c>
      <c r="F524" s="16">
        <f ca="1" t="shared" si="55"/>
        <v>0</v>
      </c>
      <c r="G524" s="16">
        <f ca="1" t="shared" si="54"/>
        <v>0</v>
      </c>
    </row>
    <row r="525" spans="2:7">
      <c r="B525" s="17" t="str">
        <f t="shared" si="53"/>
        <v>10/2025</v>
      </c>
      <c r="C525" s="18">
        <f t="shared" si="50"/>
        <v>45949</v>
      </c>
      <c r="D525" s="18" t="str">
        <f t="shared" si="51"/>
        <v>19/10/2025 a 25/10/2025</v>
      </c>
      <c r="E525" s="16">
        <f>E520+24</f>
        <v>2502</v>
      </c>
      <c r="F525" s="16">
        <f ca="1" t="shared" si="55"/>
        <v>0</v>
      </c>
      <c r="G525" s="16">
        <f ca="1" t="shared" si="54"/>
        <v>0</v>
      </c>
    </row>
    <row r="526" spans="2:7">
      <c r="B526" s="17" t="str">
        <f t="shared" si="53"/>
        <v>10/2025</v>
      </c>
      <c r="C526" s="18">
        <f t="shared" si="50"/>
        <v>45949</v>
      </c>
      <c r="D526" s="18" t="str">
        <f t="shared" si="51"/>
        <v>19/10/2025 a 25/10/2025</v>
      </c>
      <c r="E526" s="16">
        <f t="shared" si="52"/>
        <v>2504</v>
      </c>
      <c r="F526" s="16">
        <f ca="1" t="shared" si="55"/>
        <v>0</v>
      </c>
      <c r="G526" s="16">
        <f ca="1" t="shared" si="54"/>
        <v>0</v>
      </c>
    </row>
    <row r="527" spans="2:7">
      <c r="B527" s="17" t="str">
        <f t="shared" si="53"/>
        <v>10/2025</v>
      </c>
      <c r="C527" s="18">
        <f t="shared" si="50"/>
        <v>45949</v>
      </c>
      <c r="D527" s="18" t="str">
        <f t="shared" si="51"/>
        <v>19/10/2025 a 25/10/2025</v>
      </c>
      <c r="E527" s="16">
        <f t="shared" si="52"/>
        <v>2506</v>
      </c>
      <c r="F527" s="16">
        <f ca="1" t="shared" si="55"/>
        <v>0</v>
      </c>
      <c r="G527" s="16">
        <f ca="1" t="shared" si="54"/>
        <v>0</v>
      </c>
    </row>
    <row r="528" spans="2:7">
      <c r="B528" s="17" t="str">
        <f t="shared" si="53"/>
        <v>10/2025</v>
      </c>
      <c r="C528" s="18">
        <f t="shared" si="50"/>
        <v>45949</v>
      </c>
      <c r="D528" s="18" t="str">
        <f t="shared" si="51"/>
        <v>19/10/2025 a 25/10/2025</v>
      </c>
      <c r="E528" s="16">
        <f t="shared" si="52"/>
        <v>2508</v>
      </c>
      <c r="F528" s="16">
        <f ca="1" t="shared" si="55"/>
        <v>0</v>
      </c>
      <c r="G528" s="16">
        <f ca="1" t="shared" si="54"/>
        <v>0</v>
      </c>
    </row>
    <row r="529" spans="2:7">
      <c r="B529" s="17" t="str">
        <f t="shared" si="53"/>
        <v>10/2025</v>
      </c>
      <c r="C529" s="18">
        <f t="shared" si="50"/>
        <v>45949</v>
      </c>
      <c r="D529" s="18" t="str">
        <f t="shared" si="51"/>
        <v>19/10/2025 a 25/10/2025</v>
      </c>
      <c r="E529" s="16">
        <f t="shared" si="52"/>
        <v>2510</v>
      </c>
      <c r="F529" s="16">
        <f ca="1" t="shared" si="55"/>
        <v>0</v>
      </c>
      <c r="G529" s="16">
        <f ca="1" t="shared" si="54"/>
        <v>0</v>
      </c>
    </row>
    <row r="530" spans="2:7">
      <c r="B530" s="17" t="str">
        <f t="shared" si="53"/>
        <v>10/2025</v>
      </c>
      <c r="C530" s="18">
        <f t="shared" ref="C530:C593" si="56">C525+7</f>
        <v>45956</v>
      </c>
      <c r="D530" s="18" t="str">
        <f t="shared" si="51"/>
        <v>26/10/2025 a 01/11/2025</v>
      </c>
      <c r="E530" s="16">
        <f>E525+24</f>
        <v>2526</v>
      </c>
      <c r="F530" s="16">
        <f ca="1" t="shared" si="55"/>
        <v>0</v>
      </c>
      <c r="G530" s="16">
        <f ca="1" t="shared" si="54"/>
        <v>0</v>
      </c>
    </row>
    <row r="531" spans="2:7">
      <c r="B531" s="17" t="str">
        <f t="shared" si="53"/>
        <v>10/2025</v>
      </c>
      <c r="C531" s="18">
        <f t="shared" si="56"/>
        <v>45956</v>
      </c>
      <c r="D531" s="18" t="str">
        <f t="shared" ref="D531:D594" si="57">TEXT((C531),"DD/MM/AAAA")&amp;" a "&amp;TEXT((C531+6),"DD/MM/AAAA")</f>
        <v>26/10/2025 a 01/11/2025</v>
      </c>
      <c r="E531" s="16">
        <f t="shared" si="52"/>
        <v>2528</v>
      </c>
      <c r="F531" s="16">
        <f ca="1" t="shared" si="55"/>
        <v>0</v>
      </c>
      <c r="G531" s="16">
        <f ca="1" t="shared" si="54"/>
        <v>0</v>
      </c>
    </row>
    <row r="532" spans="2:7">
      <c r="B532" s="17" t="str">
        <f t="shared" si="53"/>
        <v>10/2025</v>
      </c>
      <c r="C532" s="18">
        <f t="shared" si="56"/>
        <v>45956</v>
      </c>
      <c r="D532" s="18" t="str">
        <f t="shared" si="57"/>
        <v>26/10/2025 a 01/11/2025</v>
      </c>
      <c r="E532" s="16">
        <f t="shared" si="52"/>
        <v>2530</v>
      </c>
      <c r="F532" s="16">
        <f ca="1" t="shared" si="55"/>
        <v>0</v>
      </c>
      <c r="G532" s="16">
        <f ca="1" t="shared" si="54"/>
        <v>0</v>
      </c>
    </row>
    <row r="533" spans="2:7">
      <c r="B533" s="17" t="str">
        <f t="shared" si="53"/>
        <v>10/2025</v>
      </c>
      <c r="C533" s="18">
        <f t="shared" si="56"/>
        <v>45956</v>
      </c>
      <c r="D533" s="18" t="str">
        <f t="shared" si="57"/>
        <v>26/10/2025 a 01/11/2025</v>
      </c>
      <c r="E533" s="16">
        <f t="shared" si="52"/>
        <v>2532</v>
      </c>
      <c r="F533" s="16">
        <f ca="1" t="shared" si="55"/>
        <v>0</v>
      </c>
      <c r="G533" s="16">
        <f ca="1" t="shared" si="54"/>
        <v>0</v>
      </c>
    </row>
    <row r="534" spans="2:7">
      <c r="B534" s="17" t="str">
        <f t="shared" si="53"/>
        <v>10/2025</v>
      </c>
      <c r="C534" s="18">
        <f t="shared" si="56"/>
        <v>45956</v>
      </c>
      <c r="D534" s="18" t="str">
        <f t="shared" si="57"/>
        <v>26/10/2025 a 01/11/2025</v>
      </c>
      <c r="E534" s="16">
        <f t="shared" si="52"/>
        <v>2534</v>
      </c>
      <c r="F534" s="16">
        <f ca="1" t="shared" si="55"/>
        <v>0</v>
      </c>
      <c r="G534" s="16">
        <f ca="1" t="shared" si="54"/>
        <v>0</v>
      </c>
    </row>
    <row r="535" spans="2:7">
      <c r="B535" s="17" t="str">
        <f t="shared" si="53"/>
        <v>11/2025</v>
      </c>
      <c r="C535" s="18">
        <f t="shared" si="56"/>
        <v>45963</v>
      </c>
      <c r="D535" s="18" t="str">
        <f t="shared" si="57"/>
        <v>02/11/2025 a 08/11/2025</v>
      </c>
      <c r="E535" s="16">
        <f>E530+24</f>
        <v>2550</v>
      </c>
      <c r="F535" s="16">
        <f ca="1" t="shared" si="55"/>
        <v>0</v>
      </c>
      <c r="G535" s="16">
        <f ca="1" t="shared" si="54"/>
        <v>0</v>
      </c>
    </row>
    <row r="536" spans="2:7">
      <c r="B536" s="17" t="str">
        <f t="shared" si="53"/>
        <v>11/2025</v>
      </c>
      <c r="C536" s="18">
        <f t="shared" si="56"/>
        <v>45963</v>
      </c>
      <c r="D536" s="18" t="str">
        <f t="shared" si="57"/>
        <v>02/11/2025 a 08/11/2025</v>
      </c>
      <c r="E536" s="16">
        <f t="shared" si="52"/>
        <v>2552</v>
      </c>
      <c r="F536" s="16">
        <f ca="1" t="shared" si="55"/>
        <v>0</v>
      </c>
      <c r="G536" s="16">
        <f ca="1" t="shared" si="54"/>
        <v>0</v>
      </c>
    </row>
    <row r="537" spans="2:7">
      <c r="B537" s="17" t="str">
        <f t="shared" si="53"/>
        <v>11/2025</v>
      </c>
      <c r="C537" s="18">
        <f t="shared" si="56"/>
        <v>45963</v>
      </c>
      <c r="D537" s="18" t="str">
        <f t="shared" si="57"/>
        <v>02/11/2025 a 08/11/2025</v>
      </c>
      <c r="E537" s="16">
        <f t="shared" si="52"/>
        <v>2554</v>
      </c>
      <c r="F537" s="16">
        <f ca="1" t="shared" si="55"/>
        <v>0</v>
      </c>
      <c r="G537" s="16">
        <f ca="1" t="shared" si="54"/>
        <v>0</v>
      </c>
    </row>
    <row r="538" spans="2:7">
      <c r="B538" s="17" t="str">
        <f t="shared" si="53"/>
        <v>11/2025</v>
      </c>
      <c r="C538" s="18">
        <f t="shared" si="56"/>
        <v>45963</v>
      </c>
      <c r="D538" s="18" t="str">
        <f t="shared" si="57"/>
        <v>02/11/2025 a 08/11/2025</v>
      </c>
      <c r="E538" s="16">
        <f t="shared" si="52"/>
        <v>2556</v>
      </c>
      <c r="F538" s="16">
        <f ca="1" t="shared" si="55"/>
        <v>0</v>
      </c>
      <c r="G538" s="16">
        <f ca="1" t="shared" si="54"/>
        <v>0</v>
      </c>
    </row>
    <row r="539" spans="2:7">
      <c r="B539" s="17" t="str">
        <f t="shared" si="53"/>
        <v>11/2025</v>
      </c>
      <c r="C539" s="18">
        <f t="shared" si="56"/>
        <v>45963</v>
      </c>
      <c r="D539" s="18" t="str">
        <f t="shared" si="57"/>
        <v>02/11/2025 a 08/11/2025</v>
      </c>
      <c r="E539" s="16">
        <f t="shared" si="52"/>
        <v>2558</v>
      </c>
      <c r="F539" s="16">
        <f ca="1" t="shared" si="55"/>
        <v>0</v>
      </c>
      <c r="G539" s="16">
        <f ca="1" t="shared" si="54"/>
        <v>0</v>
      </c>
    </row>
    <row r="540" spans="2:7">
      <c r="B540" s="17" t="str">
        <f t="shared" si="53"/>
        <v>11/2025</v>
      </c>
      <c r="C540" s="18">
        <f t="shared" si="56"/>
        <v>45970</v>
      </c>
      <c r="D540" s="18" t="str">
        <f t="shared" si="57"/>
        <v>09/11/2025 a 15/11/2025</v>
      </c>
      <c r="E540" s="16">
        <f>E535+24</f>
        <v>2574</v>
      </c>
      <c r="F540" s="16">
        <f ca="1" t="shared" si="55"/>
        <v>0</v>
      </c>
      <c r="G540" s="16">
        <f ca="1" t="shared" si="54"/>
        <v>0</v>
      </c>
    </row>
    <row r="541" spans="2:7">
      <c r="B541" s="17" t="str">
        <f t="shared" si="53"/>
        <v>11/2025</v>
      </c>
      <c r="C541" s="18">
        <f t="shared" si="56"/>
        <v>45970</v>
      </c>
      <c r="D541" s="18" t="str">
        <f t="shared" si="57"/>
        <v>09/11/2025 a 15/11/2025</v>
      </c>
      <c r="E541" s="16">
        <f t="shared" si="52"/>
        <v>2576</v>
      </c>
      <c r="F541" s="16">
        <f ca="1" t="shared" si="55"/>
        <v>0</v>
      </c>
      <c r="G541" s="16">
        <f ca="1" t="shared" si="54"/>
        <v>0</v>
      </c>
    </row>
    <row r="542" spans="2:7">
      <c r="B542" s="17" t="str">
        <f t="shared" si="53"/>
        <v>11/2025</v>
      </c>
      <c r="C542" s="18">
        <f t="shared" si="56"/>
        <v>45970</v>
      </c>
      <c r="D542" s="18" t="str">
        <f t="shared" si="57"/>
        <v>09/11/2025 a 15/11/2025</v>
      </c>
      <c r="E542" s="16">
        <f t="shared" si="52"/>
        <v>2578</v>
      </c>
      <c r="F542" s="16">
        <f ca="1" t="shared" si="55"/>
        <v>0</v>
      </c>
      <c r="G542" s="16">
        <f ca="1" t="shared" si="54"/>
        <v>0</v>
      </c>
    </row>
    <row r="543" spans="2:7">
      <c r="B543" s="17" t="str">
        <f t="shared" si="53"/>
        <v>11/2025</v>
      </c>
      <c r="C543" s="18">
        <f t="shared" si="56"/>
        <v>45970</v>
      </c>
      <c r="D543" s="18" t="str">
        <f t="shared" si="57"/>
        <v>09/11/2025 a 15/11/2025</v>
      </c>
      <c r="E543" s="16">
        <f t="shared" si="52"/>
        <v>2580</v>
      </c>
      <c r="F543" s="16">
        <f ca="1" t="shared" si="55"/>
        <v>0</v>
      </c>
      <c r="G543" s="16">
        <f ca="1" t="shared" si="54"/>
        <v>0</v>
      </c>
    </row>
    <row r="544" spans="2:7">
      <c r="B544" s="17" t="str">
        <f t="shared" si="53"/>
        <v>11/2025</v>
      </c>
      <c r="C544" s="18">
        <f t="shared" si="56"/>
        <v>45970</v>
      </c>
      <c r="D544" s="18" t="str">
        <f t="shared" si="57"/>
        <v>09/11/2025 a 15/11/2025</v>
      </c>
      <c r="E544" s="16">
        <f t="shared" si="52"/>
        <v>2582</v>
      </c>
      <c r="F544" s="16">
        <f ca="1" t="shared" si="55"/>
        <v>0</v>
      </c>
      <c r="G544" s="16">
        <f ca="1" t="shared" si="54"/>
        <v>0</v>
      </c>
    </row>
    <row r="545" spans="2:7">
      <c r="B545" s="17" t="str">
        <f t="shared" si="53"/>
        <v>11/2025</v>
      </c>
      <c r="C545" s="18">
        <f t="shared" si="56"/>
        <v>45977</v>
      </c>
      <c r="D545" s="18" t="str">
        <f t="shared" si="57"/>
        <v>16/11/2025 a 22/11/2025</v>
      </c>
      <c r="E545" s="16">
        <f>E540+24</f>
        <v>2598</v>
      </c>
      <c r="F545" s="16">
        <f ca="1" t="shared" si="55"/>
        <v>0</v>
      </c>
      <c r="G545" s="16">
        <f ca="1" t="shared" si="54"/>
        <v>0</v>
      </c>
    </row>
    <row r="546" spans="2:7">
      <c r="B546" s="17" t="str">
        <f t="shared" si="53"/>
        <v>11/2025</v>
      </c>
      <c r="C546" s="18">
        <f t="shared" si="56"/>
        <v>45977</v>
      </c>
      <c r="D546" s="18" t="str">
        <f t="shared" si="57"/>
        <v>16/11/2025 a 22/11/2025</v>
      </c>
      <c r="E546" s="16">
        <f t="shared" ref="E546:E609" si="58">E545+2</f>
        <v>2600</v>
      </c>
      <c r="F546" s="16">
        <f ca="1" t="shared" si="55"/>
        <v>0</v>
      </c>
      <c r="G546" s="16">
        <f ca="1" t="shared" si="54"/>
        <v>0</v>
      </c>
    </row>
    <row r="547" spans="2:7">
      <c r="B547" s="17" t="str">
        <f t="shared" si="53"/>
        <v>11/2025</v>
      </c>
      <c r="C547" s="18">
        <f t="shared" si="56"/>
        <v>45977</v>
      </c>
      <c r="D547" s="18" t="str">
        <f t="shared" si="57"/>
        <v>16/11/2025 a 22/11/2025</v>
      </c>
      <c r="E547" s="16">
        <f t="shared" si="58"/>
        <v>2602</v>
      </c>
      <c r="F547" s="16">
        <f ca="1" t="shared" si="55"/>
        <v>0</v>
      </c>
      <c r="G547" s="16">
        <f ca="1" t="shared" si="54"/>
        <v>0</v>
      </c>
    </row>
    <row r="548" spans="2:7">
      <c r="B548" s="17" t="str">
        <f t="shared" si="53"/>
        <v>11/2025</v>
      </c>
      <c r="C548" s="18">
        <f t="shared" si="56"/>
        <v>45977</v>
      </c>
      <c r="D548" s="18" t="str">
        <f t="shared" si="57"/>
        <v>16/11/2025 a 22/11/2025</v>
      </c>
      <c r="E548" s="16">
        <f t="shared" si="58"/>
        <v>2604</v>
      </c>
      <c r="F548" s="16">
        <f ca="1" t="shared" si="55"/>
        <v>0</v>
      </c>
      <c r="G548" s="16">
        <f ca="1" t="shared" si="54"/>
        <v>0</v>
      </c>
    </row>
    <row r="549" spans="2:7">
      <c r="B549" s="17" t="str">
        <f t="shared" si="53"/>
        <v>11/2025</v>
      </c>
      <c r="C549" s="18">
        <f t="shared" si="56"/>
        <v>45977</v>
      </c>
      <c r="D549" s="18" t="str">
        <f t="shared" si="57"/>
        <v>16/11/2025 a 22/11/2025</v>
      </c>
      <c r="E549" s="16">
        <f t="shared" si="58"/>
        <v>2606</v>
      </c>
      <c r="F549" s="16">
        <f ca="1" t="shared" si="55"/>
        <v>0</v>
      </c>
      <c r="G549" s="16">
        <f ca="1" t="shared" si="54"/>
        <v>0</v>
      </c>
    </row>
    <row r="550" spans="2:7">
      <c r="B550" s="17" t="str">
        <f t="shared" si="53"/>
        <v>11/2025</v>
      </c>
      <c r="C550" s="18">
        <f t="shared" si="56"/>
        <v>45984</v>
      </c>
      <c r="D550" s="18" t="str">
        <f t="shared" si="57"/>
        <v>23/11/2025 a 29/11/2025</v>
      </c>
      <c r="E550" s="16">
        <f>E545+24</f>
        <v>2622</v>
      </c>
      <c r="F550" s="16">
        <f ca="1" t="shared" si="55"/>
        <v>0</v>
      </c>
      <c r="G550" s="16">
        <f ca="1" t="shared" si="54"/>
        <v>0</v>
      </c>
    </row>
    <row r="551" spans="2:7">
      <c r="B551" s="17" t="str">
        <f t="shared" si="53"/>
        <v>11/2025</v>
      </c>
      <c r="C551" s="18">
        <f t="shared" si="56"/>
        <v>45984</v>
      </c>
      <c r="D551" s="18" t="str">
        <f t="shared" si="57"/>
        <v>23/11/2025 a 29/11/2025</v>
      </c>
      <c r="E551" s="16">
        <f t="shared" si="58"/>
        <v>2624</v>
      </c>
      <c r="F551" s="16">
        <f ca="1" t="shared" si="55"/>
        <v>0</v>
      </c>
      <c r="G551" s="16">
        <f ca="1" t="shared" si="54"/>
        <v>0</v>
      </c>
    </row>
    <row r="552" spans="2:7">
      <c r="B552" s="17" t="str">
        <f t="shared" si="53"/>
        <v>11/2025</v>
      </c>
      <c r="C552" s="18">
        <f t="shared" si="56"/>
        <v>45984</v>
      </c>
      <c r="D552" s="18" t="str">
        <f t="shared" si="57"/>
        <v>23/11/2025 a 29/11/2025</v>
      </c>
      <c r="E552" s="16">
        <f t="shared" si="58"/>
        <v>2626</v>
      </c>
      <c r="F552" s="16">
        <f ca="1" t="shared" si="55"/>
        <v>0</v>
      </c>
      <c r="G552" s="16">
        <f ca="1" t="shared" si="54"/>
        <v>0</v>
      </c>
    </row>
    <row r="553" spans="2:7">
      <c r="B553" s="17" t="str">
        <f t="shared" si="53"/>
        <v>11/2025</v>
      </c>
      <c r="C553" s="18">
        <f t="shared" si="56"/>
        <v>45984</v>
      </c>
      <c r="D553" s="18" t="str">
        <f t="shared" si="57"/>
        <v>23/11/2025 a 29/11/2025</v>
      </c>
      <c r="E553" s="16">
        <f t="shared" si="58"/>
        <v>2628</v>
      </c>
      <c r="F553" s="16">
        <f ca="1" t="shared" si="55"/>
        <v>0</v>
      </c>
      <c r="G553" s="16">
        <f ca="1" t="shared" si="54"/>
        <v>0</v>
      </c>
    </row>
    <row r="554" spans="2:7">
      <c r="B554" s="17" t="str">
        <f t="shared" si="53"/>
        <v>11/2025</v>
      </c>
      <c r="C554" s="18">
        <f t="shared" si="56"/>
        <v>45984</v>
      </c>
      <c r="D554" s="18" t="str">
        <f t="shared" si="57"/>
        <v>23/11/2025 a 29/11/2025</v>
      </c>
      <c r="E554" s="16">
        <f t="shared" si="58"/>
        <v>2630</v>
      </c>
      <c r="F554" s="16">
        <f ca="1" t="shared" si="55"/>
        <v>0</v>
      </c>
      <c r="G554" s="16">
        <f ca="1" t="shared" si="54"/>
        <v>0</v>
      </c>
    </row>
    <row r="555" spans="2:7">
      <c r="B555" s="17" t="str">
        <f t="shared" si="53"/>
        <v>11/2025</v>
      </c>
      <c r="C555" s="18">
        <f t="shared" si="56"/>
        <v>45991</v>
      </c>
      <c r="D555" s="18" t="str">
        <f t="shared" si="57"/>
        <v>30/11/2025 a 06/12/2025</v>
      </c>
      <c r="E555" s="16">
        <f>E550+24</f>
        <v>2646</v>
      </c>
      <c r="F555" s="16">
        <f ca="1" t="shared" si="55"/>
        <v>0</v>
      </c>
      <c r="G555" s="16">
        <f ca="1" t="shared" si="54"/>
        <v>0</v>
      </c>
    </row>
    <row r="556" spans="2:7">
      <c r="B556" s="17" t="str">
        <f t="shared" si="53"/>
        <v>11/2025</v>
      </c>
      <c r="C556" s="18">
        <f t="shared" si="56"/>
        <v>45991</v>
      </c>
      <c r="D556" s="18" t="str">
        <f t="shared" si="57"/>
        <v>30/11/2025 a 06/12/2025</v>
      </c>
      <c r="E556" s="16">
        <f t="shared" si="58"/>
        <v>2648</v>
      </c>
      <c r="F556" s="16">
        <f ca="1" t="shared" si="55"/>
        <v>0</v>
      </c>
      <c r="G556" s="16">
        <f ca="1" t="shared" si="54"/>
        <v>0</v>
      </c>
    </row>
    <row r="557" spans="2:7">
      <c r="B557" s="17" t="str">
        <f t="shared" si="53"/>
        <v>11/2025</v>
      </c>
      <c r="C557" s="18">
        <f t="shared" si="56"/>
        <v>45991</v>
      </c>
      <c r="D557" s="18" t="str">
        <f t="shared" si="57"/>
        <v>30/11/2025 a 06/12/2025</v>
      </c>
      <c r="E557" s="16">
        <f t="shared" si="58"/>
        <v>2650</v>
      </c>
      <c r="F557" s="16">
        <f ca="1" t="shared" si="55"/>
        <v>0</v>
      </c>
      <c r="G557" s="16">
        <f ca="1" t="shared" si="54"/>
        <v>0</v>
      </c>
    </row>
    <row r="558" spans="2:7">
      <c r="B558" s="17" t="str">
        <f t="shared" si="53"/>
        <v>11/2025</v>
      </c>
      <c r="C558" s="18">
        <f t="shared" si="56"/>
        <v>45991</v>
      </c>
      <c r="D558" s="18" t="str">
        <f t="shared" si="57"/>
        <v>30/11/2025 a 06/12/2025</v>
      </c>
      <c r="E558" s="16">
        <f t="shared" si="58"/>
        <v>2652</v>
      </c>
      <c r="F558" s="16">
        <f ca="1" t="shared" si="55"/>
        <v>0</v>
      </c>
      <c r="G558" s="16">
        <f ca="1" t="shared" si="54"/>
        <v>0</v>
      </c>
    </row>
    <row r="559" spans="2:7">
      <c r="B559" s="17" t="str">
        <f t="shared" si="53"/>
        <v>11/2025</v>
      </c>
      <c r="C559" s="18">
        <f t="shared" si="56"/>
        <v>45991</v>
      </c>
      <c r="D559" s="18" t="str">
        <f t="shared" si="57"/>
        <v>30/11/2025 a 06/12/2025</v>
      </c>
      <c r="E559" s="16">
        <f t="shared" si="58"/>
        <v>2654</v>
      </c>
      <c r="F559" s="16">
        <f ca="1" t="shared" si="55"/>
        <v>0</v>
      </c>
      <c r="G559" s="16">
        <f ca="1" t="shared" si="54"/>
        <v>0</v>
      </c>
    </row>
    <row r="560" spans="2:7">
      <c r="B560" s="17" t="str">
        <f t="shared" si="53"/>
        <v>12/2025</v>
      </c>
      <c r="C560" s="18">
        <f t="shared" si="56"/>
        <v>45998</v>
      </c>
      <c r="D560" s="18" t="str">
        <f t="shared" si="57"/>
        <v>07/12/2025 a 13/12/2025</v>
      </c>
      <c r="E560" s="16">
        <f>E555+24</f>
        <v>2670</v>
      </c>
      <c r="F560" s="16">
        <f ca="1" t="shared" si="55"/>
        <v>0</v>
      </c>
      <c r="G560" s="16">
        <f ca="1" t="shared" si="54"/>
        <v>0</v>
      </c>
    </row>
    <row r="561" spans="2:7">
      <c r="B561" s="17" t="str">
        <f t="shared" si="53"/>
        <v>12/2025</v>
      </c>
      <c r="C561" s="18">
        <f t="shared" si="56"/>
        <v>45998</v>
      </c>
      <c r="D561" s="18" t="str">
        <f t="shared" si="57"/>
        <v>07/12/2025 a 13/12/2025</v>
      </c>
      <c r="E561" s="16">
        <f t="shared" si="58"/>
        <v>2672</v>
      </c>
      <c r="F561" s="16">
        <f ca="1" t="shared" si="55"/>
        <v>0</v>
      </c>
      <c r="G561" s="16">
        <f ca="1" t="shared" si="54"/>
        <v>0</v>
      </c>
    </row>
    <row r="562" spans="2:7">
      <c r="B562" s="17" t="str">
        <f t="shared" si="53"/>
        <v>12/2025</v>
      </c>
      <c r="C562" s="18">
        <f t="shared" si="56"/>
        <v>45998</v>
      </c>
      <c r="D562" s="18" t="str">
        <f t="shared" si="57"/>
        <v>07/12/2025 a 13/12/2025</v>
      </c>
      <c r="E562" s="16">
        <f t="shared" si="58"/>
        <v>2674</v>
      </c>
      <c r="F562" s="16">
        <f ca="1" t="shared" si="55"/>
        <v>0</v>
      </c>
      <c r="G562" s="16">
        <f ca="1" t="shared" si="54"/>
        <v>0</v>
      </c>
    </row>
    <row r="563" spans="2:7">
      <c r="B563" s="17" t="str">
        <f t="shared" si="53"/>
        <v>12/2025</v>
      </c>
      <c r="C563" s="18">
        <f t="shared" si="56"/>
        <v>45998</v>
      </c>
      <c r="D563" s="18" t="str">
        <f t="shared" si="57"/>
        <v>07/12/2025 a 13/12/2025</v>
      </c>
      <c r="E563" s="16">
        <f t="shared" si="58"/>
        <v>2676</v>
      </c>
      <c r="F563" s="16">
        <f ca="1" t="shared" si="55"/>
        <v>0</v>
      </c>
      <c r="G563" s="16">
        <f ca="1" t="shared" si="54"/>
        <v>0</v>
      </c>
    </row>
    <row r="564" spans="2:7">
      <c r="B564" s="17" t="str">
        <f t="shared" si="53"/>
        <v>12/2025</v>
      </c>
      <c r="C564" s="18">
        <f t="shared" si="56"/>
        <v>45998</v>
      </c>
      <c r="D564" s="18" t="str">
        <f t="shared" si="57"/>
        <v>07/12/2025 a 13/12/2025</v>
      </c>
      <c r="E564" s="16">
        <f t="shared" si="58"/>
        <v>2678</v>
      </c>
      <c r="F564" s="16">
        <f ca="1" t="shared" si="55"/>
        <v>0</v>
      </c>
      <c r="G564" s="16">
        <f ca="1" t="shared" si="54"/>
        <v>0</v>
      </c>
    </row>
    <row r="565" spans="2:7">
      <c r="B565" s="17" t="str">
        <f t="shared" si="53"/>
        <v>12/2025</v>
      </c>
      <c r="C565" s="18">
        <f t="shared" si="56"/>
        <v>46005</v>
      </c>
      <c r="D565" s="18" t="str">
        <f t="shared" si="57"/>
        <v>14/12/2025 a 20/12/2025</v>
      </c>
      <c r="E565" s="16">
        <f>E560+24</f>
        <v>2694</v>
      </c>
      <c r="F565" s="16">
        <f ca="1" t="shared" si="55"/>
        <v>0</v>
      </c>
      <c r="G565" s="16">
        <f ca="1" t="shared" si="54"/>
        <v>0</v>
      </c>
    </row>
    <row r="566" spans="2:7">
      <c r="B566" s="17" t="str">
        <f t="shared" si="53"/>
        <v>12/2025</v>
      </c>
      <c r="C566" s="18">
        <f t="shared" si="56"/>
        <v>46005</v>
      </c>
      <c r="D566" s="18" t="str">
        <f t="shared" si="57"/>
        <v>14/12/2025 a 20/12/2025</v>
      </c>
      <c r="E566" s="16">
        <f t="shared" si="58"/>
        <v>2696</v>
      </c>
      <c r="F566" s="16">
        <f ca="1" t="shared" si="55"/>
        <v>0</v>
      </c>
      <c r="G566" s="16">
        <f ca="1" t="shared" si="54"/>
        <v>0</v>
      </c>
    </row>
    <row r="567" spans="2:7">
      <c r="B567" s="17" t="str">
        <f t="shared" si="53"/>
        <v>12/2025</v>
      </c>
      <c r="C567" s="18">
        <f t="shared" si="56"/>
        <v>46005</v>
      </c>
      <c r="D567" s="18" t="str">
        <f t="shared" si="57"/>
        <v>14/12/2025 a 20/12/2025</v>
      </c>
      <c r="E567" s="16">
        <f t="shared" si="58"/>
        <v>2698</v>
      </c>
      <c r="F567" s="16">
        <f ca="1" t="shared" si="55"/>
        <v>0</v>
      </c>
      <c r="G567" s="16">
        <f ca="1" t="shared" si="54"/>
        <v>0</v>
      </c>
    </row>
    <row r="568" spans="2:7">
      <c r="B568" s="17" t="str">
        <f t="shared" si="53"/>
        <v>12/2025</v>
      </c>
      <c r="C568" s="18">
        <f t="shared" si="56"/>
        <v>46005</v>
      </c>
      <c r="D568" s="18" t="str">
        <f t="shared" si="57"/>
        <v>14/12/2025 a 20/12/2025</v>
      </c>
      <c r="E568" s="16">
        <f t="shared" si="58"/>
        <v>2700</v>
      </c>
      <c r="F568" s="16">
        <f ca="1" t="shared" si="55"/>
        <v>0</v>
      </c>
      <c r="G568" s="16">
        <f ca="1" t="shared" si="54"/>
        <v>0</v>
      </c>
    </row>
    <row r="569" spans="2:7">
      <c r="B569" s="17" t="str">
        <f t="shared" ref="B569:B632" si="59">MONTH(C569)&amp;"/"&amp;YEAR(C569)</f>
        <v>12/2025</v>
      </c>
      <c r="C569" s="18">
        <f t="shared" si="56"/>
        <v>46005</v>
      </c>
      <c r="D569" s="18" t="str">
        <f t="shared" si="57"/>
        <v>14/12/2025 a 20/12/2025</v>
      </c>
      <c r="E569" s="16">
        <f t="shared" si="58"/>
        <v>2702</v>
      </c>
      <c r="F569" s="16">
        <f ca="1" t="shared" si="55"/>
        <v>0</v>
      </c>
      <c r="G569" s="16">
        <f ca="1" t="shared" ref="G569:G632" si="60">INDIRECT("'Diário'!J"&amp;E569)</f>
        <v>0</v>
      </c>
    </row>
    <row r="570" spans="2:7">
      <c r="B570" s="17" t="str">
        <f t="shared" si="59"/>
        <v>12/2025</v>
      </c>
      <c r="C570" s="18">
        <f t="shared" si="56"/>
        <v>46012</v>
      </c>
      <c r="D570" s="18" t="str">
        <f t="shared" si="57"/>
        <v>21/12/2025 a 27/12/2025</v>
      </c>
      <c r="E570" s="16">
        <f>E565+24</f>
        <v>2718</v>
      </c>
      <c r="F570" s="16">
        <f ca="1" t="shared" si="55"/>
        <v>0</v>
      </c>
      <c r="G570" s="16">
        <f ca="1" t="shared" si="60"/>
        <v>0</v>
      </c>
    </row>
    <row r="571" spans="2:7">
      <c r="B571" s="17" t="str">
        <f t="shared" si="59"/>
        <v>12/2025</v>
      </c>
      <c r="C571" s="18">
        <f t="shared" si="56"/>
        <v>46012</v>
      </c>
      <c r="D571" s="18" t="str">
        <f t="shared" si="57"/>
        <v>21/12/2025 a 27/12/2025</v>
      </c>
      <c r="E571" s="16">
        <f t="shared" si="58"/>
        <v>2720</v>
      </c>
      <c r="F571" s="16">
        <f ca="1" t="shared" si="55"/>
        <v>0</v>
      </c>
      <c r="G571" s="16">
        <f ca="1" t="shared" si="60"/>
        <v>0</v>
      </c>
    </row>
    <row r="572" spans="2:7">
      <c r="B572" s="17" t="str">
        <f t="shared" si="59"/>
        <v>12/2025</v>
      </c>
      <c r="C572" s="18">
        <f t="shared" si="56"/>
        <v>46012</v>
      </c>
      <c r="D572" s="18" t="str">
        <f t="shared" si="57"/>
        <v>21/12/2025 a 27/12/2025</v>
      </c>
      <c r="E572" s="16">
        <f t="shared" si="58"/>
        <v>2722</v>
      </c>
      <c r="F572" s="16">
        <f ca="1" t="shared" si="55"/>
        <v>0</v>
      </c>
      <c r="G572" s="16">
        <f ca="1" t="shared" si="60"/>
        <v>0</v>
      </c>
    </row>
    <row r="573" spans="2:7">
      <c r="B573" s="17" t="str">
        <f t="shared" si="59"/>
        <v>12/2025</v>
      </c>
      <c r="C573" s="18">
        <f t="shared" si="56"/>
        <v>46012</v>
      </c>
      <c r="D573" s="18" t="str">
        <f t="shared" si="57"/>
        <v>21/12/2025 a 27/12/2025</v>
      </c>
      <c r="E573" s="16">
        <f t="shared" si="58"/>
        <v>2724</v>
      </c>
      <c r="F573" s="16">
        <f ca="1" t="shared" si="55"/>
        <v>0</v>
      </c>
      <c r="G573" s="16">
        <f ca="1" t="shared" si="60"/>
        <v>0</v>
      </c>
    </row>
    <row r="574" spans="2:7">
      <c r="B574" s="17" t="str">
        <f t="shared" si="59"/>
        <v>12/2025</v>
      </c>
      <c r="C574" s="18">
        <f t="shared" si="56"/>
        <v>46012</v>
      </c>
      <c r="D574" s="18" t="str">
        <f t="shared" si="57"/>
        <v>21/12/2025 a 27/12/2025</v>
      </c>
      <c r="E574" s="16">
        <f t="shared" si="58"/>
        <v>2726</v>
      </c>
      <c r="F574" s="16">
        <f ca="1" t="shared" ref="F574:F637" si="61">INDIRECT("Diário!I"&amp;E574)</f>
        <v>0</v>
      </c>
      <c r="G574" s="16">
        <f ca="1" t="shared" si="60"/>
        <v>0</v>
      </c>
    </row>
    <row r="575" spans="2:7">
      <c r="B575" s="17" t="str">
        <f t="shared" si="59"/>
        <v>12/2025</v>
      </c>
      <c r="C575" s="18">
        <f t="shared" si="56"/>
        <v>46019</v>
      </c>
      <c r="D575" s="18" t="str">
        <f t="shared" si="57"/>
        <v>28/12/2025 a 03/01/2026</v>
      </c>
      <c r="E575" s="16">
        <f>E570+24</f>
        <v>2742</v>
      </c>
      <c r="F575" s="16">
        <f ca="1" t="shared" si="61"/>
        <v>0</v>
      </c>
      <c r="G575" s="16">
        <f ca="1" t="shared" si="60"/>
        <v>0</v>
      </c>
    </row>
    <row r="576" spans="2:7">
      <c r="B576" s="17" t="str">
        <f t="shared" si="59"/>
        <v>12/2025</v>
      </c>
      <c r="C576" s="18">
        <f t="shared" si="56"/>
        <v>46019</v>
      </c>
      <c r="D576" s="18" t="str">
        <f t="shared" si="57"/>
        <v>28/12/2025 a 03/01/2026</v>
      </c>
      <c r="E576" s="16">
        <f t="shared" si="58"/>
        <v>2744</v>
      </c>
      <c r="F576" s="16">
        <f ca="1" t="shared" si="61"/>
        <v>0</v>
      </c>
      <c r="G576" s="16">
        <f ca="1" t="shared" si="60"/>
        <v>0</v>
      </c>
    </row>
    <row r="577" spans="2:7">
      <c r="B577" s="17" t="str">
        <f t="shared" si="59"/>
        <v>12/2025</v>
      </c>
      <c r="C577" s="18">
        <f t="shared" si="56"/>
        <v>46019</v>
      </c>
      <c r="D577" s="18" t="str">
        <f t="shared" si="57"/>
        <v>28/12/2025 a 03/01/2026</v>
      </c>
      <c r="E577" s="16">
        <f t="shared" si="58"/>
        <v>2746</v>
      </c>
      <c r="F577" s="16">
        <f ca="1" t="shared" si="61"/>
        <v>0</v>
      </c>
      <c r="G577" s="16">
        <f ca="1" t="shared" si="60"/>
        <v>0</v>
      </c>
    </row>
    <row r="578" spans="2:7">
      <c r="B578" s="17" t="str">
        <f t="shared" si="59"/>
        <v>12/2025</v>
      </c>
      <c r="C578" s="18">
        <f t="shared" si="56"/>
        <v>46019</v>
      </c>
      <c r="D578" s="18" t="str">
        <f t="shared" si="57"/>
        <v>28/12/2025 a 03/01/2026</v>
      </c>
      <c r="E578" s="16">
        <f t="shared" si="58"/>
        <v>2748</v>
      </c>
      <c r="F578" s="16">
        <f ca="1" t="shared" si="61"/>
        <v>0</v>
      </c>
      <c r="G578" s="16">
        <f ca="1" t="shared" si="60"/>
        <v>0</v>
      </c>
    </row>
    <row r="579" spans="2:7">
      <c r="B579" s="17" t="str">
        <f t="shared" si="59"/>
        <v>12/2025</v>
      </c>
      <c r="C579" s="18">
        <f t="shared" si="56"/>
        <v>46019</v>
      </c>
      <c r="D579" s="18" t="str">
        <f t="shared" si="57"/>
        <v>28/12/2025 a 03/01/2026</v>
      </c>
      <c r="E579" s="16">
        <f t="shared" si="58"/>
        <v>2750</v>
      </c>
      <c r="F579" s="16">
        <f ca="1" t="shared" si="61"/>
        <v>0</v>
      </c>
      <c r="G579" s="16">
        <f ca="1" t="shared" si="60"/>
        <v>0</v>
      </c>
    </row>
    <row r="580" spans="2:7">
      <c r="B580" s="17" t="str">
        <f t="shared" si="59"/>
        <v>1/2026</v>
      </c>
      <c r="C580" s="18">
        <f t="shared" si="56"/>
        <v>46026</v>
      </c>
      <c r="D580" s="18" t="str">
        <f t="shared" si="57"/>
        <v>04/01/2026 a 10/01/2026</v>
      </c>
      <c r="E580" s="16">
        <f>E575+24</f>
        <v>2766</v>
      </c>
      <c r="F580" s="16">
        <f ca="1" t="shared" si="61"/>
        <v>0</v>
      </c>
      <c r="G580" s="16">
        <f ca="1" t="shared" si="60"/>
        <v>0</v>
      </c>
    </row>
    <row r="581" spans="2:7">
      <c r="B581" s="17" t="str">
        <f t="shared" si="59"/>
        <v>1/2026</v>
      </c>
      <c r="C581" s="18">
        <f t="shared" si="56"/>
        <v>46026</v>
      </c>
      <c r="D581" s="18" t="str">
        <f t="shared" si="57"/>
        <v>04/01/2026 a 10/01/2026</v>
      </c>
      <c r="E581" s="16">
        <f t="shared" si="58"/>
        <v>2768</v>
      </c>
      <c r="F581" s="16">
        <f ca="1" t="shared" si="61"/>
        <v>0</v>
      </c>
      <c r="G581" s="16">
        <f ca="1" t="shared" si="60"/>
        <v>0</v>
      </c>
    </row>
    <row r="582" spans="2:7">
      <c r="B582" s="17" t="str">
        <f t="shared" si="59"/>
        <v>1/2026</v>
      </c>
      <c r="C582" s="18">
        <f t="shared" si="56"/>
        <v>46026</v>
      </c>
      <c r="D582" s="18" t="str">
        <f t="shared" si="57"/>
        <v>04/01/2026 a 10/01/2026</v>
      </c>
      <c r="E582" s="16">
        <f t="shared" si="58"/>
        <v>2770</v>
      </c>
      <c r="F582" s="16">
        <f ca="1" t="shared" si="61"/>
        <v>0</v>
      </c>
      <c r="G582" s="16">
        <f ca="1" t="shared" si="60"/>
        <v>0</v>
      </c>
    </row>
    <row r="583" spans="2:7">
      <c r="B583" s="17" t="str">
        <f t="shared" si="59"/>
        <v>1/2026</v>
      </c>
      <c r="C583" s="18">
        <f t="shared" si="56"/>
        <v>46026</v>
      </c>
      <c r="D583" s="18" t="str">
        <f t="shared" si="57"/>
        <v>04/01/2026 a 10/01/2026</v>
      </c>
      <c r="E583" s="16">
        <f t="shared" si="58"/>
        <v>2772</v>
      </c>
      <c r="F583" s="16">
        <f ca="1" t="shared" si="61"/>
        <v>0</v>
      </c>
      <c r="G583" s="16">
        <f ca="1" t="shared" si="60"/>
        <v>0</v>
      </c>
    </row>
    <row r="584" spans="2:7">
      <c r="B584" s="17" t="str">
        <f t="shared" si="59"/>
        <v>1/2026</v>
      </c>
      <c r="C584" s="18">
        <f t="shared" si="56"/>
        <v>46026</v>
      </c>
      <c r="D584" s="18" t="str">
        <f t="shared" si="57"/>
        <v>04/01/2026 a 10/01/2026</v>
      </c>
      <c r="E584" s="16">
        <f t="shared" si="58"/>
        <v>2774</v>
      </c>
      <c r="F584" s="16">
        <f ca="1" t="shared" si="61"/>
        <v>0</v>
      </c>
      <c r="G584" s="16">
        <f ca="1" t="shared" si="60"/>
        <v>0</v>
      </c>
    </row>
    <row r="585" spans="2:7">
      <c r="B585" s="17" t="str">
        <f t="shared" si="59"/>
        <v>1/2026</v>
      </c>
      <c r="C585" s="18">
        <f t="shared" si="56"/>
        <v>46033</v>
      </c>
      <c r="D585" s="18" t="str">
        <f t="shared" si="57"/>
        <v>11/01/2026 a 17/01/2026</v>
      </c>
      <c r="E585" s="16">
        <f>E580+24</f>
        <v>2790</v>
      </c>
      <c r="F585" s="16">
        <f ca="1" t="shared" si="61"/>
        <v>0</v>
      </c>
      <c r="G585" s="16">
        <f ca="1" t="shared" si="60"/>
        <v>0</v>
      </c>
    </row>
    <row r="586" spans="2:7">
      <c r="B586" s="17" t="str">
        <f t="shared" si="59"/>
        <v>1/2026</v>
      </c>
      <c r="C586" s="18">
        <f t="shared" si="56"/>
        <v>46033</v>
      </c>
      <c r="D586" s="18" t="str">
        <f t="shared" si="57"/>
        <v>11/01/2026 a 17/01/2026</v>
      </c>
      <c r="E586" s="16">
        <f t="shared" si="58"/>
        <v>2792</v>
      </c>
      <c r="F586" s="16">
        <f ca="1" t="shared" si="61"/>
        <v>0</v>
      </c>
      <c r="G586" s="16">
        <f ca="1" t="shared" si="60"/>
        <v>0</v>
      </c>
    </row>
    <row r="587" spans="2:7">
      <c r="B587" s="17" t="str">
        <f t="shared" si="59"/>
        <v>1/2026</v>
      </c>
      <c r="C587" s="18">
        <f t="shared" si="56"/>
        <v>46033</v>
      </c>
      <c r="D587" s="18" t="str">
        <f t="shared" si="57"/>
        <v>11/01/2026 a 17/01/2026</v>
      </c>
      <c r="E587" s="16">
        <f t="shared" si="58"/>
        <v>2794</v>
      </c>
      <c r="F587" s="16">
        <f ca="1" t="shared" si="61"/>
        <v>0</v>
      </c>
      <c r="G587" s="16">
        <f ca="1" t="shared" si="60"/>
        <v>0</v>
      </c>
    </row>
    <row r="588" spans="2:7">
      <c r="B588" s="17" t="str">
        <f t="shared" si="59"/>
        <v>1/2026</v>
      </c>
      <c r="C588" s="18">
        <f t="shared" si="56"/>
        <v>46033</v>
      </c>
      <c r="D588" s="18" t="str">
        <f t="shared" si="57"/>
        <v>11/01/2026 a 17/01/2026</v>
      </c>
      <c r="E588" s="16">
        <f t="shared" si="58"/>
        <v>2796</v>
      </c>
      <c r="F588" s="16">
        <f ca="1" t="shared" si="61"/>
        <v>0</v>
      </c>
      <c r="G588" s="16">
        <f ca="1" t="shared" si="60"/>
        <v>0</v>
      </c>
    </row>
    <row r="589" spans="2:7">
      <c r="B589" s="17" t="str">
        <f t="shared" si="59"/>
        <v>1/2026</v>
      </c>
      <c r="C589" s="18">
        <f t="shared" si="56"/>
        <v>46033</v>
      </c>
      <c r="D589" s="18" t="str">
        <f t="shared" si="57"/>
        <v>11/01/2026 a 17/01/2026</v>
      </c>
      <c r="E589" s="16">
        <f t="shared" si="58"/>
        <v>2798</v>
      </c>
      <c r="F589" s="16">
        <f ca="1" t="shared" si="61"/>
        <v>0</v>
      </c>
      <c r="G589" s="16">
        <f ca="1" t="shared" si="60"/>
        <v>0</v>
      </c>
    </row>
    <row r="590" spans="2:7">
      <c r="B590" s="17" t="str">
        <f t="shared" si="59"/>
        <v>1/2026</v>
      </c>
      <c r="C590" s="18">
        <f t="shared" si="56"/>
        <v>46040</v>
      </c>
      <c r="D590" s="18" t="str">
        <f t="shared" si="57"/>
        <v>18/01/2026 a 24/01/2026</v>
      </c>
      <c r="E590" s="16">
        <f>E585+24</f>
        <v>2814</v>
      </c>
      <c r="F590" s="16">
        <f ca="1" t="shared" si="61"/>
        <v>0</v>
      </c>
      <c r="G590" s="16">
        <f ca="1" t="shared" si="60"/>
        <v>0</v>
      </c>
    </row>
    <row r="591" spans="2:7">
      <c r="B591" s="17" t="str">
        <f t="shared" si="59"/>
        <v>1/2026</v>
      </c>
      <c r="C591" s="18">
        <f t="shared" si="56"/>
        <v>46040</v>
      </c>
      <c r="D591" s="18" t="str">
        <f t="shared" si="57"/>
        <v>18/01/2026 a 24/01/2026</v>
      </c>
      <c r="E591" s="16">
        <f t="shared" si="58"/>
        <v>2816</v>
      </c>
      <c r="F591" s="16">
        <f ca="1" t="shared" si="61"/>
        <v>0</v>
      </c>
      <c r="G591" s="16">
        <f ca="1" t="shared" si="60"/>
        <v>0</v>
      </c>
    </row>
    <row r="592" spans="2:7">
      <c r="B592" s="17" t="str">
        <f t="shared" si="59"/>
        <v>1/2026</v>
      </c>
      <c r="C592" s="18">
        <f t="shared" si="56"/>
        <v>46040</v>
      </c>
      <c r="D592" s="18" t="str">
        <f t="shared" si="57"/>
        <v>18/01/2026 a 24/01/2026</v>
      </c>
      <c r="E592" s="16">
        <f t="shared" si="58"/>
        <v>2818</v>
      </c>
      <c r="F592" s="16">
        <f ca="1" t="shared" si="61"/>
        <v>0</v>
      </c>
      <c r="G592" s="16">
        <f ca="1" t="shared" si="60"/>
        <v>0</v>
      </c>
    </row>
    <row r="593" spans="2:7">
      <c r="B593" s="17" t="str">
        <f t="shared" si="59"/>
        <v>1/2026</v>
      </c>
      <c r="C593" s="18">
        <f t="shared" si="56"/>
        <v>46040</v>
      </c>
      <c r="D593" s="18" t="str">
        <f t="shared" si="57"/>
        <v>18/01/2026 a 24/01/2026</v>
      </c>
      <c r="E593" s="16">
        <f t="shared" si="58"/>
        <v>2820</v>
      </c>
      <c r="F593" s="16">
        <f ca="1" t="shared" si="61"/>
        <v>0</v>
      </c>
      <c r="G593" s="16">
        <f ca="1" t="shared" si="60"/>
        <v>0</v>
      </c>
    </row>
    <row r="594" spans="2:7">
      <c r="B594" s="17" t="str">
        <f t="shared" si="59"/>
        <v>1/2026</v>
      </c>
      <c r="C594" s="18">
        <f t="shared" ref="C594:C657" si="62">C589+7</f>
        <v>46040</v>
      </c>
      <c r="D594" s="18" t="str">
        <f t="shared" si="57"/>
        <v>18/01/2026 a 24/01/2026</v>
      </c>
      <c r="E594" s="16">
        <f t="shared" si="58"/>
        <v>2822</v>
      </c>
      <c r="F594" s="16">
        <f ca="1" t="shared" si="61"/>
        <v>0</v>
      </c>
      <c r="G594" s="16">
        <f ca="1" t="shared" si="60"/>
        <v>0</v>
      </c>
    </row>
    <row r="595" spans="2:7">
      <c r="B595" s="17" t="str">
        <f t="shared" si="59"/>
        <v>1/2026</v>
      </c>
      <c r="C595" s="18">
        <f t="shared" si="62"/>
        <v>46047</v>
      </c>
      <c r="D595" s="18" t="str">
        <f t="shared" ref="D595:D658" si="63">TEXT((C595),"DD/MM/AAAA")&amp;" a "&amp;TEXT((C595+6),"DD/MM/AAAA")</f>
        <v>25/01/2026 a 31/01/2026</v>
      </c>
      <c r="E595" s="16">
        <f>E590+24</f>
        <v>2838</v>
      </c>
      <c r="F595" s="16">
        <f ca="1" t="shared" si="61"/>
        <v>0</v>
      </c>
      <c r="G595" s="16">
        <f ca="1" t="shared" si="60"/>
        <v>0</v>
      </c>
    </row>
    <row r="596" spans="2:7">
      <c r="B596" s="17" t="str">
        <f t="shared" si="59"/>
        <v>1/2026</v>
      </c>
      <c r="C596" s="18">
        <f t="shared" si="62"/>
        <v>46047</v>
      </c>
      <c r="D596" s="18" t="str">
        <f t="shared" si="63"/>
        <v>25/01/2026 a 31/01/2026</v>
      </c>
      <c r="E596" s="16">
        <f t="shared" si="58"/>
        <v>2840</v>
      </c>
      <c r="F596" s="16">
        <f ca="1" t="shared" si="61"/>
        <v>0</v>
      </c>
      <c r="G596" s="16">
        <f ca="1" t="shared" si="60"/>
        <v>0</v>
      </c>
    </row>
    <row r="597" spans="2:7">
      <c r="B597" s="17" t="str">
        <f t="shared" si="59"/>
        <v>1/2026</v>
      </c>
      <c r="C597" s="18">
        <f t="shared" si="62"/>
        <v>46047</v>
      </c>
      <c r="D597" s="18" t="str">
        <f t="shared" si="63"/>
        <v>25/01/2026 a 31/01/2026</v>
      </c>
      <c r="E597" s="16">
        <f t="shared" si="58"/>
        <v>2842</v>
      </c>
      <c r="F597" s="16">
        <f ca="1" t="shared" si="61"/>
        <v>0</v>
      </c>
      <c r="G597" s="16">
        <f ca="1" t="shared" si="60"/>
        <v>0</v>
      </c>
    </row>
    <row r="598" spans="2:7">
      <c r="B598" s="17" t="str">
        <f t="shared" si="59"/>
        <v>1/2026</v>
      </c>
      <c r="C598" s="18">
        <f t="shared" si="62"/>
        <v>46047</v>
      </c>
      <c r="D598" s="18" t="str">
        <f t="shared" si="63"/>
        <v>25/01/2026 a 31/01/2026</v>
      </c>
      <c r="E598" s="16">
        <f t="shared" si="58"/>
        <v>2844</v>
      </c>
      <c r="F598" s="16">
        <f ca="1" t="shared" si="61"/>
        <v>0</v>
      </c>
      <c r="G598" s="16">
        <f ca="1" t="shared" si="60"/>
        <v>0</v>
      </c>
    </row>
    <row r="599" spans="2:7">
      <c r="B599" s="17" t="str">
        <f t="shared" si="59"/>
        <v>1/2026</v>
      </c>
      <c r="C599" s="18">
        <f t="shared" si="62"/>
        <v>46047</v>
      </c>
      <c r="D599" s="18" t="str">
        <f t="shared" si="63"/>
        <v>25/01/2026 a 31/01/2026</v>
      </c>
      <c r="E599" s="16">
        <f t="shared" si="58"/>
        <v>2846</v>
      </c>
      <c r="F599" s="16">
        <f ca="1" t="shared" si="61"/>
        <v>0</v>
      </c>
      <c r="G599" s="16">
        <f ca="1" t="shared" si="60"/>
        <v>0</v>
      </c>
    </row>
    <row r="600" spans="2:7">
      <c r="B600" s="17" t="str">
        <f t="shared" si="59"/>
        <v>2/2026</v>
      </c>
      <c r="C600" s="18">
        <f t="shared" si="62"/>
        <v>46054</v>
      </c>
      <c r="D600" s="18" t="str">
        <f t="shared" si="63"/>
        <v>01/02/2026 a 07/02/2026</v>
      </c>
      <c r="E600" s="16">
        <f>E595+24</f>
        <v>2862</v>
      </c>
      <c r="F600" s="16">
        <f ca="1" t="shared" si="61"/>
        <v>0</v>
      </c>
      <c r="G600" s="16">
        <f ca="1" t="shared" si="60"/>
        <v>0</v>
      </c>
    </row>
    <row r="601" spans="2:7">
      <c r="B601" s="17" t="str">
        <f t="shared" si="59"/>
        <v>2/2026</v>
      </c>
      <c r="C601" s="18">
        <f t="shared" si="62"/>
        <v>46054</v>
      </c>
      <c r="D601" s="18" t="str">
        <f t="shared" si="63"/>
        <v>01/02/2026 a 07/02/2026</v>
      </c>
      <c r="E601" s="16">
        <f t="shared" si="58"/>
        <v>2864</v>
      </c>
      <c r="F601" s="16">
        <f ca="1" t="shared" si="61"/>
        <v>0</v>
      </c>
      <c r="G601" s="16">
        <f ca="1" t="shared" si="60"/>
        <v>0</v>
      </c>
    </row>
    <row r="602" spans="2:7">
      <c r="B602" s="17" t="str">
        <f t="shared" si="59"/>
        <v>2/2026</v>
      </c>
      <c r="C602" s="18">
        <f t="shared" si="62"/>
        <v>46054</v>
      </c>
      <c r="D602" s="18" t="str">
        <f t="shared" si="63"/>
        <v>01/02/2026 a 07/02/2026</v>
      </c>
      <c r="E602" s="16">
        <f t="shared" si="58"/>
        <v>2866</v>
      </c>
      <c r="F602" s="16">
        <f ca="1" t="shared" si="61"/>
        <v>0</v>
      </c>
      <c r="G602" s="16">
        <f ca="1" t="shared" si="60"/>
        <v>0</v>
      </c>
    </row>
    <row r="603" spans="2:7">
      <c r="B603" s="17" t="str">
        <f t="shared" si="59"/>
        <v>2/2026</v>
      </c>
      <c r="C603" s="18">
        <f t="shared" si="62"/>
        <v>46054</v>
      </c>
      <c r="D603" s="18" t="str">
        <f t="shared" si="63"/>
        <v>01/02/2026 a 07/02/2026</v>
      </c>
      <c r="E603" s="16">
        <f t="shared" si="58"/>
        <v>2868</v>
      </c>
      <c r="F603" s="16">
        <f ca="1" t="shared" si="61"/>
        <v>0</v>
      </c>
      <c r="G603" s="16">
        <f ca="1" t="shared" si="60"/>
        <v>0</v>
      </c>
    </row>
    <row r="604" spans="2:7">
      <c r="B604" s="17" t="str">
        <f t="shared" si="59"/>
        <v>2/2026</v>
      </c>
      <c r="C604" s="18">
        <f t="shared" si="62"/>
        <v>46054</v>
      </c>
      <c r="D604" s="18" t="str">
        <f t="shared" si="63"/>
        <v>01/02/2026 a 07/02/2026</v>
      </c>
      <c r="E604" s="16">
        <f t="shared" si="58"/>
        <v>2870</v>
      </c>
      <c r="F604" s="16">
        <f ca="1" t="shared" si="61"/>
        <v>0</v>
      </c>
      <c r="G604" s="16">
        <f ca="1" t="shared" si="60"/>
        <v>0</v>
      </c>
    </row>
    <row r="605" spans="2:7">
      <c r="B605" s="17" t="str">
        <f t="shared" si="59"/>
        <v>2/2026</v>
      </c>
      <c r="C605" s="18">
        <f t="shared" si="62"/>
        <v>46061</v>
      </c>
      <c r="D605" s="18" t="str">
        <f t="shared" si="63"/>
        <v>08/02/2026 a 14/02/2026</v>
      </c>
      <c r="E605" s="16">
        <f>E600+24</f>
        <v>2886</v>
      </c>
      <c r="F605" s="16">
        <f ca="1" t="shared" si="61"/>
        <v>0</v>
      </c>
      <c r="G605" s="16">
        <f ca="1" t="shared" si="60"/>
        <v>0</v>
      </c>
    </row>
    <row r="606" spans="2:7">
      <c r="B606" s="17" t="str">
        <f t="shared" si="59"/>
        <v>2/2026</v>
      </c>
      <c r="C606" s="18">
        <f t="shared" si="62"/>
        <v>46061</v>
      </c>
      <c r="D606" s="18" t="str">
        <f t="shared" si="63"/>
        <v>08/02/2026 a 14/02/2026</v>
      </c>
      <c r="E606" s="16">
        <f t="shared" si="58"/>
        <v>2888</v>
      </c>
      <c r="F606" s="16">
        <f ca="1" t="shared" si="61"/>
        <v>0</v>
      </c>
      <c r="G606" s="16">
        <f ca="1" t="shared" si="60"/>
        <v>0</v>
      </c>
    </row>
    <row r="607" spans="2:7">
      <c r="B607" s="17" t="str">
        <f t="shared" si="59"/>
        <v>2/2026</v>
      </c>
      <c r="C607" s="18">
        <f t="shared" si="62"/>
        <v>46061</v>
      </c>
      <c r="D607" s="18" t="str">
        <f t="shared" si="63"/>
        <v>08/02/2026 a 14/02/2026</v>
      </c>
      <c r="E607" s="16">
        <f t="shared" si="58"/>
        <v>2890</v>
      </c>
      <c r="F607" s="16">
        <f ca="1" t="shared" si="61"/>
        <v>0</v>
      </c>
      <c r="G607" s="16">
        <f ca="1" t="shared" si="60"/>
        <v>0</v>
      </c>
    </row>
    <row r="608" spans="2:7">
      <c r="B608" s="17" t="str">
        <f t="shared" si="59"/>
        <v>2/2026</v>
      </c>
      <c r="C608" s="18">
        <f t="shared" si="62"/>
        <v>46061</v>
      </c>
      <c r="D608" s="18" t="str">
        <f t="shared" si="63"/>
        <v>08/02/2026 a 14/02/2026</v>
      </c>
      <c r="E608" s="16">
        <f t="shared" si="58"/>
        <v>2892</v>
      </c>
      <c r="F608" s="16">
        <f ca="1" t="shared" si="61"/>
        <v>0</v>
      </c>
      <c r="G608" s="16">
        <f ca="1" t="shared" si="60"/>
        <v>0</v>
      </c>
    </row>
    <row r="609" spans="2:7">
      <c r="B609" s="17" t="str">
        <f t="shared" si="59"/>
        <v>2/2026</v>
      </c>
      <c r="C609" s="18">
        <f t="shared" si="62"/>
        <v>46061</v>
      </c>
      <c r="D609" s="18" t="str">
        <f t="shared" si="63"/>
        <v>08/02/2026 a 14/02/2026</v>
      </c>
      <c r="E609" s="16">
        <f t="shared" si="58"/>
        <v>2894</v>
      </c>
      <c r="F609" s="16">
        <f ca="1" t="shared" si="61"/>
        <v>0</v>
      </c>
      <c r="G609" s="16">
        <f ca="1" t="shared" si="60"/>
        <v>0</v>
      </c>
    </row>
    <row r="610" spans="2:7">
      <c r="B610" s="17" t="str">
        <f t="shared" si="59"/>
        <v>2/2026</v>
      </c>
      <c r="C610" s="18">
        <f t="shared" si="62"/>
        <v>46068</v>
      </c>
      <c r="D610" s="18" t="str">
        <f t="shared" si="63"/>
        <v>15/02/2026 a 21/02/2026</v>
      </c>
      <c r="E610" s="16">
        <f>E605+24</f>
        <v>2910</v>
      </c>
      <c r="F610" s="16">
        <f ca="1" t="shared" si="61"/>
        <v>0</v>
      </c>
      <c r="G610" s="16">
        <f ca="1" t="shared" si="60"/>
        <v>0</v>
      </c>
    </row>
    <row r="611" spans="2:7">
      <c r="B611" s="17" t="str">
        <f t="shared" si="59"/>
        <v>2/2026</v>
      </c>
      <c r="C611" s="18">
        <f t="shared" si="62"/>
        <v>46068</v>
      </c>
      <c r="D611" s="18" t="str">
        <f t="shared" si="63"/>
        <v>15/02/2026 a 21/02/2026</v>
      </c>
      <c r="E611" s="16">
        <f t="shared" ref="E611:E674" si="64">E610+2</f>
        <v>2912</v>
      </c>
      <c r="F611" s="16">
        <f ca="1" t="shared" si="61"/>
        <v>0</v>
      </c>
      <c r="G611" s="16">
        <f ca="1" t="shared" si="60"/>
        <v>0</v>
      </c>
    </row>
    <row r="612" spans="2:7">
      <c r="B612" s="17" t="str">
        <f t="shared" si="59"/>
        <v>2/2026</v>
      </c>
      <c r="C612" s="18">
        <f t="shared" si="62"/>
        <v>46068</v>
      </c>
      <c r="D612" s="18" t="str">
        <f t="shared" si="63"/>
        <v>15/02/2026 a 21/02/2026</v>
      </c>
      <c r="E612" s="16">
        <f t="shared" si="64"/>
        <v>2914</v>
      </c>
      <c r="F612" s="16">
        <f ca="1" t="shared" si="61"/>
        <v>0</v>
      </c>
      <c r="G612" s="16">
        <f ca="1" t="shared" si="60"/>
        <v>0</v>
      </c>
    </row>
    <row r="613" spans="2:7">
      <c r="B613" s="17" t="str">
        <f t="shared" si="59"/>
        <v>2/2026</v>
      </c>
      <c r="C613" s="18">
        <f t="shared" si="62"/>
        <v>46068</v>
      </c>
      <c r="D613" s="18" t="str">
        <f t="shared" si="63"/>
        <v>15/02/2026 a 21/02/2026</v>
      </c>
      <c r="E613" s="16">
        <f t="shared" si="64"/>
        <v>2916</v>
      </c>
      <c r="F613" s="16">
        <f ca="1" t="shared" si="61"/>
        <v>0</v>
      </c>
      <c r="G613" s="16">
        <f ca="1" t="shared" si="60"/>
        <v>0</v>
      </c>
    </row>
    <row r="614" spans="2:7">
      <c r="B614" s="17" t="str">
        <f t="shared" si="59"/>
        <v>2/2026</v>
      </c>
      <c r="C614" s="18">
        <f t="shared" si="62"/>
        <v>46068</v>
      </c>
      <c r="D614" s="18" t="str">
        <f t="shared" si="63"/>
        <v>15/02/2026 a 21/02/2026</v>
      </c>
      <c r="E614" s="16">
        <f t="shared" si="64"/>
        <v>2918</v>
      </c>
      <c r="F614" s="16">
        <f ca="1" t="shared" si="61"/>
        <v>0</v>
      </c>
      <c r="G614" s="16">
        <f ca="1" t="shared" si="60"/>
        <v>0</v>
      </c>
    </row>
    <row r="615" spans="2:7">
      <c r="B615" s="17" t="str">
        <f t="shared" si="59"/>
        <v>2/2026</v>
      </c>
      <c r="C615" s="18">
        <f t="shared" si="62"/>
        <v>46075</v>
      </c>
      <c r="D615" s="18" t="str">
        <f t="shared" si="63"/>
        <v>22/02/2026 a 28/02/2026</v>
      </c>
      <c r="E615" s="16">
        <f>E610+24</f>
        <v>2934</v>
      </c>
      <c r="F615" s="16">
        <f ca="1" t="shared" si="61"/>
        <v>0</v>
      </c>
      <c r="G615" s="16">
        <f ca="1" t="shared" si="60"/>
        <v>0</v>
      </c>
    </row>
    <row r="616" spans="2:7">
      <c r="B616" s="17" t="str">
        <f t="shared" si="59"/>
        <v>2/2026</v>
      </c>
      <c r="C616" s="18">
        <f t="shared" si="62"/>
        <v>46075</v>
      </c>
      <c r="D616" s="18" t="str">
        <f t="shared" si="63"/>
        <v>22/02/2026 a 28/02/2026</v>
      </c>
      <c r="E616" s="16">
        <f t="shared" si="64"/>
        <v>2936</v>
      </c>
      <c r="F616" s="16">
        <f ca="1" t="shared" si="61"/>
        <v>0</v>
      </c>
      <c r="G616" s="16">
        <f ca="1" t="shared" si="60"/>
        <v>0</v>
      </c>
    </row>
    <row r="617" spans="2:7">
      <c r="B617" s="17" t="str">
        <f t="shared" si="59"/>
        <v>2/2026</v>
      </c>
      <c r="C617" s="18">
        <f t="shared" si="62"/>
        <v>46075</v>
      </c>
      <c r="D617" s="18" t="str">
        <f t="shared" si="63"/>
        <v>22/02/2026 a 28/02/2026</v>
      </c>
      <c r="E617" s="16">
        <f t="shared" si="64"/>
        <v>2938</v>
      </c>
      <c r="F617" s="16">
        <f ca="1" t="shared" si="61"/>
        <v>0</v>
      </c>
      <c r="G617" s="16">
        <f ca="1" t="shared" si="60"/>
        <v>0</v>
      </c>
    </row>
    <row r="618" spans="2:7">
      <c r="B618" s="17" t="str">
        <f t="shared" si="59"/>
        <v>2/2026</v>
      </c>
      <c r="C618" s="18">
        <f t="shared" si="62"/>
        <v>46075</v>
      </c>
      <c r="D618" s="18" t="str">
        <f t="shared" si="63"/>
        <v>22/02/2026 a 28/02/2026</v>
      </c>
      <c r="E618" s="16">
        <f t="shared" si="64"/>
        <v>2940</v>
      </c>
      <c r="F618" s="16">
        <f ca="1" t="shared" si="61"/>
        <v>0</v>
      </c>
      <c r="G618" s="16">
        <f ca="1" t="shared" si="60"/>
        <v>0</v>
      </c>
    </row>
    <row r="619" spans="2:7">
      <c r="B619" s="17" t="str">
        <f t="shared" si="59"/>
        <v>2/2026</v>
      </c>
      <c r="C619" s="18">
        <f t="shared" si="62"/>
        <v>46075</v>
      </c>
      <c r="D619" s="18" t="str">
        <f t="shared" si="63"/>
        <v>22/02/2026 a 28/02/2026</v>
      </c>
      <c r="E619" s="16">
        <f t="shared" si="64"/>
        <v>2942</v>
      </c>
      <c r="F619" s="16">
        <f ca="1" t="shared" si="61"/>
        <v>0</v>
      </c>
      <c r="G619" s="16">
        <f ca="1" t="shared" si="60"/>
        <v>0</v>
      </c>
    </row>
    <row r="620" spans="2:7">
      <c r="B620" s="17" t="str">
        <f t="shared" si="59"/>
        <v>3/2026</v>
      </c>
      <c r="C620" s="18">
        <f t="shared" si="62"/>
        <v>46082</v>
      </c>
      <c r="D620" s="18" t="str">
        <f t="shared" si="63"/>
        <v>01/03/2026 a 07/03/2026</v>
      </c>
      <c r="E620" s="16">
        <f>E615+24</f>
        <v>2958</v>
      </c>
      <c r="F620" s="16">
        <f ca="1" t="shared" si="61"/>
        <v>0</v>
      </c>
      <c r="G620" s="16">
        <f ca="1" t="shared" si="60"/>
        <v>0</v>
      </c>
    </row>
    <row r="621" spans="2:7">
      <c r="B621" s="17" t="str">
        <f t="shared" si="59"/>
        <v>3/2026</v>
      </c>
      <c r="C621" s="18">
        <f t="shared" si="62"/>
        <v>46082</v>
      </c>
      <c r="D621" s="18" t="str">
        <f t="shared" si="63"/>
        <v>01/03/2026 a 07/03/2026</v>
      </c>
      <c r="E621" s="16">
        <f t="shared" si="64"/>
        <v>2960</v>
      </c>
      <c r="F621" s="16">
        <f ca="1" t="shared" si="61"/>
        <v>0</v>
      </c>
      <c r="G621" s="16">
        <f ca="1" t="shared" si="60"/>
        <v>0</v>
      </c>
    </row>
    <row r="622" spans="2:7">
      <c r="B622" s="17" t="str">
        <f t="shared" si="59"/>
        <v>3/2026</v>
      </c>
      <c r="C622" s="18">
        <f t="shared" si="62"/>
        <v>46082</v>
      </c>
      <c r="D622" s="18" t="str">
        <f t="shared" si="63"/>
        <v>01/03/2026 a 07/03/2026</v>
      </c>
      <c r="E622" s="16">
        <f t="shared" si="64"/>
        <v>2962</v>
      </c>
      <c r="F622" s="16">
        <f ca="1" t="shared" si="61"/>
        <v>0</v>
      </c>
      <c r="G622" s="16">
        <f ca="1" t="shared" si="60"/>
        <v>0</v>
      </c>
    </row>
    <row r="623" spans="2:7">
      <c r="B623" s="17" t="str">
        <f t="shared" si="59"/>
        <v>3/2026</v>
      </c>
      <c r="C623" s="18">
        <f t="shared" si="62"/>
        <v>46082</v>
      </c>
      <c r="D623" s="18" t="str">
        <f t="shared" si="63"/>
        <v>01/03/2026 a 07/03/2026</v>
      </c>
      <c r="E623" s="16">
        <f t="shared" si="64"/>
        <v>2964</v>
      </c>
      <c r="F623" s="16">
        <f ca="1" t="shared" si="61"/>
        <v>0</v>
      </c>
      <c r="G623" s="16">
        <f ca="1" t="shared" si="60"/>
        <v>0</v>
      </c>
    </row>
    <row r="624" spans="2:7">
      <c r="B624" s="17" t="str">
        <f t="shared" si="59"/>
        <v>3/2026</v>
      </c>
      <c r="C624" s="18">
        <f t="shared" si="62"/>
        <v>46082</v>
      </c>
      <c r="D624" s="18" t="str">
        <f t="shared" si="63"/>
        <v>01/03/2026 a 07/03/2026</v>
      </c>
      <c r="E624" s="16">
        <f t="shared" si="64"/>
        <v>2966</v>
      </c>
      <c r="F624" s="16">
        <f ca="1" t="shared" si="61"/>
        <v>0</v>
      </c>
      <c r="G624" s="16">
        <f ca="1" t="shared" si="60"/>
        <v>0</v>
      </c>
    </row>
    <row r="625" spans="2:7">
      <c r="B625" s="17" t="str">
        <f t="shared" si="59"/>
        <v>3/2026</v>
      </c>
      <c r="C625" s="18">
        <f t="shared" si="62"/>
        <v>46089</v>
      </c>
      <c r="D625" s="18" t="str">
        <f t="shared" si="63"/>
        <v>08/03/2026 a 14/03/2026</v>
      </c>
      <c r="E625" s="16">
        <f>E620+24</f>
        <v>2982</v>
      </c>
      <c r="F625" s="16">
        <f ca="1" t="shared" si="61"/>
        <v>0</v>
      </c>
      <c r="G625" s="16">
        <f ca="1" t="shared" si="60"/>
        <v>0</v>
      </c>
    </row>
    <row r="626" spans="2:7">
      <c r="B626" s="17" t="str">
        <f t="shared" si="59"/>
        <v>3/2026</v>
      </c>
      <c r="C626" s="18">
        <f t="shared" si="62"/>
        <v>46089</v>
      </c>
      <c r="D626" s="18" t="str">
        <f t="shared" si="63"/>
        <v>08/03/2026 a 14/03/2026</v>
      </c>
      <c r="E626" s="16">
        <f t="shared" si="64"/>
        <v>2984</v>
      </c>
      <c r="F626" s="16">
        <f ca="1" t="shared" si="61"/>
        <v>0</v>
      </c>
      <c r="G626" s="16">
        <f ca="1" t="shared" si="60"/>
        <v>0</v>
      </c>
    </row>
    <row r="627" spans="2:7">
      <c r="B627" s="17" t="str">
        <f t="shared" si="59"/>
        <v>3/2026</v>
      </c>
      <c r="C627" s="18">
        <f t="shared" si="62"/>
        <v>46089</v>
      </c>
      <c r="D627" s="18" t="str">
        <f t="shared" si="63"/>
        <v>08/03/2026 a 14/03/2026</v>
      </c>
      <c r="E627" s="16">
        <f t="shared" si="64"/>
        <v>2986</v>
      </c>
      <c r="F627" s="16">
        <f ca="1" t="shared" si="61"/>
        <v>0</v>
      </c>
      <c r="G627" s="16">
        <f ca="1" t="shared" si="60"/>
        <v>0</v>
      </c>
    </row>
    <row r="628" spans="2:7">
      <c r="B628" s="17" t="str">
        <f t="shared" si="59"/>
        <v>3/2026</v>
      </c>
      <c r="C628" s="18">
        <f t="shared" si="62"/>
        <v>46089</v>
      </c>
      <c r="D628" s="18" t="str">
        <f t="shared" si="63"/>
        <v>08/03/2026 a 14/03/2026</v>
      </c>
      <c r="E628" s="16">
        <f t="shared" si="64"/>
        <v>2988</v>
      </c>
      <c r="F628" s="16">
        <f ca="1" t="shared" si="61"/>
        <v>0</v>
      </c>
      <c r="G628" s="16">
        <f ca="1" t="shared" si="60"/>
        <v>0</v>
      </c>
    </row>
    <row r="629" spans="2:7">
      <c r="B629" s="17" t="str">
        <f t="shared" si="59"/>
        <v>3/2026</v>
      </c>
      <c r="C629" s="18">
        <f t="shared" si="62"/>
        <v>46089</v>
      </c>
      <c r="D629" s="18" t="str">
        <f t="shared" si="63"/>
        <v>08/03/2026 a 14/03/2026</v>
      </c>
      <c r="E629" s="16">
        <f t="shared" si="64"/>
        <v>2990</v>
      </c>
      <c r="F629" s="16">
        <f ca="1" t="shared" si="61"/>
        <v>0</v>
      </c>
      <c r="G629" s="16">
        <f ca="1" t="shared" si="60"/>
        <v>0</v>
      </c>
    </row>
    <row r="630" spans="2:7">
      <c r="B630" s="17" t="str">
        <f t="shared" si="59"/>
        <v>3/2026</v>
      </c>
      <c r="C630" s="18">
        <f t="shared" si="62"/>
        <v>46096</v>
      </c>
      <c r="D630" s="18" t="str">
        <f t="shared" si="63"/>
        <v>15/03/2026 a 21/03/2026</v>
      </c>
      <c r="E630" s="16">
        <f>E625+24</f>
        <v>3006</v>
      </c>
      <c r="F630" s="16">
        <f ca="1" t="shared" si="61"/>
        <v>0</v>
      </c>
      <c r="G630" s="16">
        <f ca="1" t="shared" si="60"/>
        <v>0</v>
      </c>
    </row>
    <row r="631" spans="2:7">
      <c r="B631" s="17" t="str">
        <f t="shared" si="59"/>
        <v>3/2026</v>
      </c>
      <c r="C631" s="18">
        <f t="shared" si="62"/>
        <v>46096</v>
      </c>
      <c r="D631" s="18" t="str">
        <f t="shared" si="63"/>
        <v>15/03/2026 a 21/03/2026</v>
      </c>
      <c r="E631" s="16">
        <f t="shared" si="64"/>
        <v>3008</v>
      </c>
      <c r="F631" s="16">
        <f ca="1" t="shared" si="61"/>
        <v>0</v>
      </c>
      <c r="G631" s="16">
        <f ca="1" t="shared" si="60"/>
        <v>0</v>
      </c>
    </row>
    <row r="632" spans="2:7">
      <c r="B632" s="17" t="str">
        <f t="shared" si="59"/>
        <v>3/2026</v>
      </c>
      <c r="C632" s="18">
        <f t="shared" si="62"/>
        <v>46096</v>
      </c>
      <c r="D632" s="18" t="str">
        <f t="shared" si="63"/>
        <v>15/03/2026 a 21/03/2026</v>
      </c>
      <c r="E632" s="16">
        <f t="shared" si="64"/>
        <v>3010</v>
      </c>
      <c r="F632" s="16">
        <f ca="1" t="shared" si="61"/>
        <v>0</v>
      </c>
      <c r="G632" s="16">
        <f ca="1" t="shared" si="60"/>
        <v>0</v>
      </c>
    </row>
    <row r="633" spans="2:7">
      <c r="B633" s="17" t="str">
        <f t="shared" ref="B633:B696" si="65">MONTH(C633)&amp;"/"&amp;YEAR(C633)</f>
        <v>3/2026</v>
      </c>
      <c r="C633" s="18">
        <f t="shared" si="62"/>
        <v>46096</v>
      </c>
      <c r="D633" s="18" t="str">
        <f t="shared" si="63"/>
        <v>15/03/2026 a 21/03/2026</v>
      </c>
      <c r="E633" s="16">
        <f t="shared" si="64"/>
        <v>3012</v>
      </c>
      <c r="F633" s="16">
        <f ca="1" t="shared" si="61"/>
        <v>0</v>
      </c>
      <c r="G633" s="16">
        <f ca="1" t="shared" ref="G633:G696" si="66">INDIRECT("'Diário'!J"&amp;E633)</f>
        <v>0</v>
      </c>
    </row>
    <row r="634" spans="2:7">
      <c r="B634" s="17" t="str">
        <f t="shared" si="65"/>
        <v>3/2026</v>
      </c>
      <c r="C634" s="18">
        <f t="shared" si="62"/>
        <v>46096</v>
      </c>
      <c r="D634" s="18" t="str">
        <f t="shared" si="63"/>
        <v>15/03/2026 a 21/03/2026</v>
      </c>
      <c r="E634" s="16">
        <f t="shared" si="64"/>
        <v>3014</v>
      </c>
      <c r="F634" s="16">
        <f ca="1" t="shared" si="61"/>
        <v>0</v>
      </c>
      <c r="G634" s="16">
        <f ca="1" t="shared" si="66"/>
        <v>0</v>
      </c>
    </row>
    <row r="635" spans="2:7">
      <c r="B635" s="17" t="str">
        <f t="shared" si="65"/>
        <v>3/2026</v>
      </c>
      <c r="C635" s="18">
        <f t="shared" si="62"/>
        <v>46103</v>
      </c>
      <c r="D635" s="18" t="str">
        <f t="shared" si="63"/>
        <v>22/03/2026 a 28/03/2026</v>
      </c>
      <c r="E635" s="16">
        <f>E630+24</f>
        <v>3030</v>
      </c>
      <c r="F635" s="16">
        <f ca="1" t="shared" si="61"/>
        <v>0</v>
      </c>
      <c r="G635" s="16">
        <f ca="1" t="shared" si="66"/>
        <v>0</v>
      </c>
    </row>
    <row r="636" spans="2:7">
      <c r="B636" s="17" t="str">
        <f t="shared" si="65"/>
        <v>3/2026</v>
      </c>
      <c r="C636" s="18">
        <f t="shared" si="62"/>
        <v>46103</v>
      </c>
      <c r="D636" s="18" t="str">
        <f t="shared" si="63"/>
        <v>22/03/2026 a 28/03/2026</v>
      </c>
      <c r="E636" s="16">
        <f t="shared" si="64"/>
        <v>3032</v>
      </c>
      <c r="F636" s="16">
        <f ca="1" t="shared" si="61"/>
        <v>0</v>
      </c>
      <c r="G636" s="16">
        <f ca="1" t="shared" si="66"/>
        <v>0</v>
      </c>
    </row>
    <row r="637" spans="2:7">
      <c r="B637" s="17" t="str">
        <f t="shared" si="65"/>
        <v>3/2026</v>
      </c>
      <c r="C637" s="18">
        <f t="shared" si="62"/>
        <v>46103</v>
      </c>
      <c r="D637" s="18" t="str">
        <f t="shared" si="63"/>
        <v>22/03/2026 a 28/03/2026</v>
      </c>
      <c r="E637" s="16">
        <f t="shared" si="64"/>
        <v>3034</v>
      </c>
      <c r="F637" s="16">
        <f ca="1" t="shared" si="61"/>
        <v>0</v>
      </c>
      <c r="G637" s="16">
        <f ca="1" t="shared" si="66"/>
        <v>0</v>
      </c>
    </row>
    <row r="638" spans="2:7">
      <c r="B638" s="17" t="str">
        <f t="shared" si="65"/>
        <v>3/2026</v>
      </c>
      <c r="C638" s="18">
        <f t="shared" si="62"/>
        <v>46103</v>
      </c>
      <c r="D638" s="18" t="str">
        <f t="shared" si="63"/>
        <v>22/03/2026 a 28/03/2026</v>
      </c>
      <c r="E638" s="16">
        <f t="shared" si="64"/>
        <v>3036</v>
      </c>
      <c r="F638" s="16">
        <f ca="1" t="shared" ref="F638:F701" si="67">INDIRECT("Diário!I"&amp;E638)</f>
        <v>0</v>
      </c>
      <c r="G638" s="16">
        <f ca="1" t="shared" si="66"/>
        <v>0</v>
      </c>
    </row>
    <row r="639" spans="2:7">
      <c r="B639" s="17" t="str">
        <f t="shared" si="65"/>
        <v>3/2026</v>
      </c>
      <c r="C639" s="18">
        <f t="shared" si="62"/>
        <v>46103</v>
      </c>
      <c r="D639" s="18" t="str">
        <f t="shared" si="63"/>
        <v>22/03/2026 a 28/03/2026</v>
      </c>
      <c r="E639" s="16">
        <f t="shared" si="64"/>
        <v>3038</v>
      </c>
      <c r="F639" s="16">
        <f ca="1" t="shared" si="67"/>
        <v>0</v>
      </c>
      <c r="G639" s="16">
        <f ca="1" t="shared" si="66"/>
        <v>0</v>
      </c>
    </row>
    <row r="640" spans="2:7">
      <c r="B640" s="17" t="str">
        <f t="shared" si="65"/>
        <v>3/2026</v>
      </c>
      <c r="C640" s="18">
        <f t="shared" si="62"/>
        <v>46110</v>
      </c>
      <c r="D640" s="18" t="str">
        <f t="shared" si="63"/>
        <v>29/03/2026 a 04/04/2026</v>
      </c>
      <c r="E640" s="16">
        <f>E635+24</f>
        <v>3054</v>
      </c>
      <c r="F640" s="16">
        <f ca="1" t="shared" si="67"/>
        <v>0</v>
      </c>
      <c r="G640" s="16">
        <f ca="1" t="shared" si="66"/>
        <v>0</v>
      </c>
    </row>
    <row r="641" spans="2:7">
      <c r="B641" s="17" t="str">
        <f t="shared" si="65"/>
        <v>3/2026</v>
      </c>
      <c r="C641" s="18">
        <f t="shared" si="62"/>
        <v>46110</v>
      </c>
      <c r="D641" s="18" t="str">
        <f t="shared" si="63"/>
        <v>29/03/2026 a 04/04/2026</v>
      </c>
      <c r="E641" s="16">
        <f t="shared" si="64"/>
        <v>3056</v>
      </c>
      <c r="F641" s="16">
        <f ca="1" t="shared" si="67"/>
        <v>0</v>
      </c>
      <c r="G641" s="16">
        <f ca="1" t="shared" si="66"/>
        <v>0</v>
      </c>
    </row>
    <row r="642" spans="2:7">
      <c r="B642" s="17" t="str">
        <f t="shared" si="65"/>
        <v>3/2026</v>
      </c>
      <c r="C642" s="18">
        <f t="shared" si="62"/>
        <v>46110</v>
      </c>
      <c r="D642" s="18" t="str">
        <f t="shared" si="63"/>
        <v>29/03/2026 a 04/04/2026</v>
      </c>
      <c r="E642" s="16">
        <f t="shared" si="64"/>
        <v>3058</v>
      </c>
      <c r="F642" s="16">
        <f ca="1" t="shared" si="67"/>
        <v>0</v>
      </c>
      <c r="G642" s="16">
        <f ca="1" t="shared" si="66"/>
        <v>0</v>
      </c>
    </row>
    <row r="643" spans="2:7">
      <c r="B643" s="17" t="str">
        <f t="shared" si="65"/>
        <v>3/2026</v>
      </c>
      <c r="C643" s="18">
        <f t="shared" si="62"/>
        <v>46110</v>
      </c>
      <c r="D643" s="18" t="str">
        <f t="shared" si="63"/>
        <v>29/03/2026 a 04/04/2026</v>
      </c>
      <c r="E643" s="16">
        <f t="shared" si="64"/>
        <v>3060</v>
      </c>
      <c r="F643" s="16">
        <f ca="1" t="shared" si="67"/>
        <v>0</v>
      </c>
      <c r="G643" s="16">
        <f ca="1" t="shared" si="66"/>
        <v>0</v>
      </c>
    </row>
    <row r="644" spans="2:7">
      <c r="B644" s="17" t="str">
        <f t="shared" si="65"/>
        <v>3/2026</v>
      </c>
      <c r="C644" s="18">
        <f t="shared" si="62"/>
        <v>46110</v>
      </c>
      <c r="D644" s="18" t="str">
        <f t="shared" si="63"/>
        <v>29/03/2026 a 04/04/2026</v>
      </c>
      <c r="E644" s="16">
        <f t="shared" si="64"/>
        <v>3062</v>
      </c>
      <c r="F644" s="16">
        <f ca="1" t="shared" si="67"/>
        <v>0</v>
      </c>
      <c r="G644" s="16">
        <f ca="1" t="shared" si="66"/>
        <v>0</v>
      </c>
    </row>
    <row r="645" spans="2:7">
      <c r="B645" s="17" t="str">
        <f t="shared" si="65"/>
        <v>4/2026</v>
      </c>
      <c r="C645" s="18">
        <f t="shared" si="62"/>
        <v>46117</v>
      </c>
      <c r="D645" s="18" t="str">
        <f t="shared" si="63"/>
        <v>05/04/2026 a 11/04/2026</v>
      </c>
      <c r="E645" s="16">
        <f>E640+24</f>
        <v>3078</v>
      </c>
      <c r="F645" s="16">
        <f ca="1" t="shared" si="67"/>
        <v>0</v>
      </c>
      <c r="G645" s="16">
        <f ca="1" t="shared" si="66"/>
        <v>0</v>
      </c>
    </row>
    <row r="646" spans="2:7">
      <c r="B646" s="17" t="str">
        <f t="shared" si="65"/>
        <v>4/2026</v>
      </c>
      <c r="C646" s="18">
        <f t="shared" si="62"/>
        <v>46117</v>
      </c>
      <c r="D646" s="18" t="str">
        <f t="shared" si="63"/>
        <v>05/04/2026 a 11/04/2026</v>
      </c>
      <c r="E646" s="16">
        <f t="shared" si="64"/>
        <v>3080</v>
      </c>
      <c r="F646" s="16">
        <f ca="1" t="shared" si="67"/>
        <v>0</v>
      </c>
      <c r="G646" s="16">
        <f ca="1" t="shared" si="66"/>
        <v>0</v>
      </c>
    </row>
    <row r="647" spans="2:7">
      <c r="B647" s="17" t="str">
        <f t="shared" si="65"/>
        <v>4/2026</v>
      </c>
      <c r="C647" s="18">
        <f t="shared" si="62"/>
        <v>46117</v>
      </c>
      <c r="D647" s="18" t="str">
        <f t="shared" si="63"/>
        <v>05/04/2026 a 11/04/2026</v>
      </c>
      <c r="E647" s="16">
        <f t="shared" si="64"/>
        <v>3082</v>
      </c>
      <c r="F647" s="16">
        <f ca="1" t="shared" si="67"/>
        <v>0</v>
      </c>
      <c r="G647" s="16">
        <f ca="1" t="shared" si="66"/>
        <v>0</v>
      </c>
    </row>
    <row r="648" spans="2:7">
      <c r="B648" s="17" t="str">
        <f t="shared" si="65"/>
        <v>4/2026</v>
      </c>
      <c r="C648" s="18">
        <f t="shared" si="62"/>
        <v>46117</v>
      </c>
      <c r="D648" s="18" t="str">
        <f t="shared" si="63"/>
        <v>05/04/2026 a 11/04/2026</v>
      </c>
      <c r="E648" s="16">
        <f t="shared" si="64"/>
        <v>3084</v>
      </c>
      <c r="F648" s="16">
        <f ca="1" t="shared" si="67"/>
        <v>0</v>
      </c>
      <c r="G648" s="16">
        <f ca="1" t="shared" si="66"/>
        <v>0</v>
      </c>
    </row>
    <row r="649" spans="2:7">
      <c r="B649" s="17" t="str">
        <f t="shared" si="65"/>
        <v>4/2026</v>
      </c>
      <c r="C649" s="18">
        <f t="shared" si="62"/>
        <v>46117</v>
      </c>
      <c r="D649" s="18" t="str">
        <f t="shared" si="63"/>
        <v>05/04/2026 a 11/04/2026</v>
      </c>
      <c r="E649" s="16">
        <f t="shared" si="64"/>
        <v>3086</v>
      </c>
      <c r="F649" s="16">
        <f ca="1" t="shared" si="67"/>
        <v>0</v>
      </c>
      <c r="G649" s="16">
        <f ca="1" t="shared" si="66"/>
        <v>0</v>
      </c>
    </row>
    <row r="650" spans="2:7">
      <c r="B650" s="17" t="str">
        <f t="shared" si="65"/>
        <v>4/2026</v>
      </c>
      <c r="C650" s="18">
        <f t="shared" si="62"/>
        <v>46124</v>
      </c>
      <c r="D650" s="18" t="str">
        <f t="shared" si="63"/>
        <v>12/04/2026 a 18/04/2026</v>
      </c>
      <c r="E650" s="16">
        <f>E645+24</f>
        <v>3102</v>
      </c>
      <c r="F650" s="16">
        <f ca="1" t="shared" si="67"/>
        <v>0</v>
      </c>
      <c r="G650" s="16">
        <f ca="1" t="shared" si="66"/>
        <v>0</v>
      </c>
    </row>
    <row r="651" spans="2:7">
      <c r="B651" s="17" t="str">
        <f t="shared" si="65"/>
        <v>4/2026</v>
      </c>
      <c r="C651" s="18">
        <f t="shared" si="62"/>
        <v>46124</v>
      </c>
      <c r="D651" s="18" t="str">
        <f t="shared" si="63"/>
        <v>12/04/2026 a 18/04/2026</v>
      </c>
      <c r="E651" s="16">
        <f t="shared" si="64"/>
        <v>3104</v>
      </c>
      <c r="F651" s="16">
        <f ca="1" t="shared" si="67"/>
        <v>0</v>
      </c>
      <c r="G651" s="16">
        <f ca="1" t="shared" si="66"/>
        <v>0</v>
      </c>
    </row>
    <row r="652" spans="2:7">
      <c r="B652" s="17" t="str">
        <f t="shared" si="65"/>
        <v>4/2026</v>
      </c>
      <c r="C652" s="18">
        <f t="shared" si="62"/>
        <v>46124</v>
      </c>
      <c r="D652" s="18" t="str">
        <f t="shared" si="63"/>
        <v>12/04/2026 a 18/04/2026</v>
      </c>
      <c r="E652" s="16">
        <f t="shared" si="64"/>
        <v>3106</v>
      </c>
      <c r="F652" s="16">
        <f ca="1" t="shared" si="67"/>
        <v>0</v>
      </c>
      <c r="G652" s="16">
        <f ca="1" t="shared" si="66"/>
        <v>0</v>
      </c>
    </row>
    <row r="653" spans="2:7">
      <c r="B653" s="17" t="str">
        <f t="shared" si="65"/>
        <v>4/2026</v>
      </c>
      <c r="C653" s="18">
        <f t="shared" si="62"/>
        <v>46124</v>
      </c>
      <c r="D653" s="18" t="str">
        <f t="shared" si="63"/>
        <v>12/04/2026 a 18/04/2026</v>
      </c>
      <c r="E653" s="16">
        <f t="shared" si="64"/>
        <v>3108</v>
      </c>
      <c r="F653" s="16">
        <f ca="1" t="shared" si="67"/>
        <v>0</v>
      </c>
      <c r="G653" s="16">
        <f ca="1" t="shared" si="66"/>
        <v>0</v>
      </c>
    </row>
    <row r="654" spans="2:7">
      <c r="B654" s="17" t="str">
        <f t="shared" si="65"/>
        <v>4/2026</v>
      </c>
      <c r="C654" s="18">
        <f t="shared" si="62"/>
        <v>46124</v>
      </c>
      <c r="D654" s="18" t="str">
        <f t="shared" si="63"/>
        <v>12/04/2026 a 18/04/2026</v>
      </c>
      <c r="E654" s="16">
        <f t="shared" si="64"/>
        <v>3110</v>
      </c>
      <c r="F654" s="16">
        <f ca="1" t="shared" si="67"/>
        <v>0</v>
      </c>
      <c r="G654" s="16">
        <f ca="1" t="shared" si="66"/>
        <v>0</v>
      </c>
    </row>
    <row r="655" spans="2:7">
      <c r="B655" s="17" t="str">
        <f t="shared" si="65"/>
        <v>4/2026</v>
      </c>
      <c r="C655" s="18">
        <f t="shared" si="62"/>
        <v>46131</v>
      </c>
      <c r="D655" s="18" t="str">
        <f t="shared" si="63"/>
        <v>19/04/2026 a 25/04/2026</v>
      </c>
      <c r="E655" s="16">
        <f>E650+24</f>
        <v>3126</v>
      </c>
      <c r="F655" s="16">
        <f ca="1" t="shared" si="67"/>
        <v>0</v>
      </c>
      <c r="G655" s="16">
        <f ca="1" t="shared" si="66"/>
        <v>0</v>
      </c>
    </row>
    <row r="656" spans="2:7">
      <c r="B656" s="17" t="str">
        <f t="shared" si="65"/>
        <v>4/2026</v>
      </c>
      <c r="C656" s="18">
        <f t="shared" si="62"/>
        <v>46131</v>
      </c>
      <c r="D656" s="18" t="str">
        <f t="shared" si="63"/>
        <v>19/04/2026 a 25/04/2026</v>
      </c>
      <c r="E656" s="16">
        <f t="shared" si="64"/>
        <v>3128</v>
      </c>
      <c r="F656" s="16">
        <f ca="1" t="shared" si="67"/>
        <v>0</v>
      </c>
      <c r="G656" s="16">
        <f ca="1" t="shared" si="66"/>
        <v>0</v>
      </c>
    </row>
    <row r="657" spans="2:7">
      <c r="B657" s="17" t="str">
        <f t="shared" si="65"/>
        <v>4/2026</v>
      </c>
      <c r="C657" s="18">
        <f t="shared" si="62"/>
        <v>46131</v>
      </c>
      <c r="D657" s="18" t="str">
        <f t="shared" si="63"/>
        <v>19/04/2026 a 25/04/2026</v>
      </c>
      <c r="E657" s="16">
        <f t="shared" si="64"/>
        <v>3130</v>
      </c>
      <c r="F657" s="16">
        <f ca="1" t="shared" si="67"/>
        <v>0</v>
      </c>
      <c r="G657" s="16">
        <f ca="1" t="shared" si="66"/>
        <v>0</v>
      </c>
    </row>
    <row r="658" spans="2:7">
      <c r="B658" s="17" t="str">
        <f t="shared" si="65"/>
        <v>4/2026</v>
      </c>
      <c r="C658" s="18">
        <f t="shared" ref="C658:C721" si="68">C653+7</f>
        <v>46131</v>
      </c>
      <c r="D658" s="18" t="str">
        <f t="shared" si="63"/>
        <v>19/04/2026 a 25/04/2026</v>
      </c>
      <c r="E658" s="16">
        <f t="shared" si="64"/>
        <v>3132</v>
      </c>
      <c r="F658" s="16">
        <f ca="1" t="shared" si="67"/>
        <v>0</v>
      </c>
      <c r="G658" s="16">
        <f ca="1" t="shared" si="66"/>
        <v>0</v>
      </c>
    </row>
    <row r="659" spans="2:7">
      <c r="B659" s="17" t="str">
        <f t="shared" si="65"/>
        <v>4/2026</v>
      </c>
      <c r="C659" s="18">
        <f t="shared" si="68"/>
        <v>46131</v>
      </c>
      <c r="D659" s="18" t="str">
        <f t="shared" ref="D659:D722" si="69">TEXT((C659),"DD/MM/AAAA")&amp;" a "&amp;TEXT((C659+6),"DD/MM/AAAA")</f>
        <v>19/04/2026 a 25/04/2026</v>
      </c>
      <c r="E659" s="16">
        <f t="shared" si="64"/>
        <v>3134</v>
      </c>
      <c r="F659" s="16">
        <f ca="1" t="shared" si="67"/>
        <v>0</v>
      </c>
      <c r="G659" s="16">
        <f ca="1" t="shared" si="66"/>
        <v>0</v>
      </c>
    </row>
    <row r="660" spans="2:7">
      <c r="B660" s="17" t="str">
        <f t="shared" si="65"/>
        <v>4/2026</v>
      </c>
      <c r="C660" s="18">
        <f t="shared" si="68"/>
        <v>46138</v>
      </c>
      <c r="D660" s="18" t="str">
        <f t="shared" si="69"/>
        <v>26/04/2026 a 02/05/2026</v>
      </c>
      <c r="E660" s="16">
        <f>E655+24</f>
        <v>3150</v>
      </c>
      <c r="F660" s="16">
        <f ca="1" t="shared" si="67"/>
        <v>0</v>
      </c>
      <c r="G660" s="16">
        <f ca="1" t="shared" si="66"/>
        <v>0</v>
      </c>
    </row>
    <row r="661" spans="2:7">
      <c r="B661" s="17" t="str">
        <f t="shared" si="65"/>
        <v>4/2026</v>
      </c>
      <c r="C661" s="18">
        <f t="shared" si="68"/>
        <v>46138</v>
      </c>
      <c r="D661" s="18" t="str">
        <f t="shared" si="69"/>
        <v>26/04/2026 a 02/05/2026</v>
      </c>
      <c r="E661" s="16">
        <f t="shared" si="64"/>
        <v>3152</v>
      </c>
      <c r="F661" s="16">
        <f ca="1" t="shared" si="67"/>
        <v>0</v>
      </c>
      <c r="G661" s="16">
        <f ca="1" t="shared" si="66"/>
        <v>0</v>
      </c>
    </row>
    <row r="662" spans="2:7">
      <c r="B662" s="17" t="str">
        <f t="shared" si="65"/>
        <v>4/2026</v>
      </c>
      <c r="C662" s="18">
        <f t="shared" si="68"/>
        <v>46138</v>
      </c>
      <c r="D662" s="18" t="str">
        <f t="shared" si="69"/>
        <v>26/04/2026 a 02/05/2026</v>
      </c>
      <c r="E662" s="16">
        <f t="shared" si="64"/>
        <v>3154</v>
      </c>
      <c r="F662" s="16">
        <f ca="1" t="shared" si="67"/>
        <v>0</v>
      </c>
      <c r="G662" s="16">
        <f ca="1" t="shared" si="66"/>
        <v>0</v>
      </c>
    </row>
    <row r="663" spans="2:7">
      <c r="B663" s="17" t="str">
        <f t="shared" si="65"/>
        <v>4/2026</v>
      </c>
      <c r="C663" s="18">
        <f t="shared" si="68"/>
        <v>46138</v>
      </c>
      <c r="D663" s="18" t="str">
        <f t="shared" si="69"/>
        <v>26/04/2026 a 02/05/2026</v>
      </c>
      <c r="E663" s="16">
        <f t="shared" si="64"/>
        <v>3156</v>
      </c>
      <c r="F663" s="16">
        <f ca="1" t="shared" si="67"/>
        <v>0</v>
      </c>
      <c r="G663" s="16">
        <f ca="1" t="shared" si="66"/>
        <v>0</v>
      </c>
    </row>
    <row r="664" spans="2:7">
      <c r="B664" s="17" t="str">
        <f t="shared" si="65"/>
        <v>4/2026</v>
      </c>
      <c r="C664" s="18">
        <f t="shared" si="68"/>
        <v>46138</v>
      </c>
      <c r="D664" s="18" t="str">
        <f t="shared" si="69"/>
        <v>26/04/2026 a 02/05/2026</v>
      </c>
      <c r="E664" s="16">
        <f t="shared" si="64"/>
        <v>3158</v>
      </c>
      <c r="F664" s="16">
        <f ca="1" t="shared" si="67"/>
        <v>0</v>
      </c>
      <c r="G664" s="16">
        <f ca="1" t="shared" si="66"/>
        <v>0</v>
      </c>
    </row>
    <row r="665" spans="2:7">
      <c r="B665" s="17" t="str">
        <f t="shared" si="65"/>
        <v>5/2026</v>
      </c>
      <c r="C665" s="18">
        <f t="shared" si="68"/>
        <v>46145</v>
      </c>
      <c r="D665" s="18" t="str">
        <f t="shared" si="69"/>
        <v>03/05/2026 a 09/05/2026</v>
      </c>
      <c r="E665" s="16">
        <f>E660+24</f>
        <v>3174</v>
      </c>
      <c r="F665" s="16">
        <f ca="1" t="shared" si="67"/>
        <v>0</v>
      </c>
      <c r="G665" s="16">
        <f ca="1" t="shared" si="66"/>
        <v>0</v>
      </c>
    </row>
    <row r="666" spans="2:7">
      <c r="B666" s="17" t="str">
        <f t="shared" si="65"/>
        <v>5/2026</v>
      </c>
      <c r="C666" s="18">
        <f t="shared" si="68"/>
        <v>46145</v>
      </c>
      <c r="D666" s="18" t="str">
        <f t="shared" si="69"/>
        <v>03/05/2026 a 09/05/2026</v>
      </c>
      <c r="E666" s="16">
        <f t="shared" si="64"/>
        <v>3176</v>
      </c>
      <c r="F666" s="16">
        <f ca="1" t="shared" si="67"/>
        <v>0</v>
      </c>
      <c r="G666" s="16">
        <f ca="1" t="shared" si="66"/>
        <v>0</v>
      </c>
    </row>
    <row r="667" spans="2:7">
      <c r="B667" s="17" t="str">
        <f t="shared" si="65"/>
        <v>5/2026</v>
      </c>
      <c r="C667" s="18">
        <f t="shared" si="68"/>
        <v>46145</v>
      </c>
      <c r="D667" s="18" t="str">
        <f t="shared" si="69"/>
        <v>03/05/2026 a 09/05/2026</v>
      </c>
      <c r="E667" s="16">
        <f t="shared" si="64"/>
        <v>3178</v>
      </c>
      <c r="F667" s="16">
        <f ca="1" t="shared" si="67"/>
        <v>0</v>
      </c>
      <c r="G667" s="16">
        <f ca="1" t="shared" si="66"/>
        <v>0</v>
      </c>
    </row>
    <row r="668" spans="2:7">
      <c r="B668" s="17" t="str">
        <f t="shared" si="65"/>
        <v>5/2026</v>
      </c>
      <c r="C668" s="18">
        <f t="shared" si="68"/>
        <v>46145</v>
      </c>
      <c r="D668" s="18" t="str">
        <f t="shared" si="69"/>
        <v>03/05/2026 a 09/05/2026</v>
      </c>
      <c r="E668" s="16">
        <f t="shared" si="64"/>
        <v>3180</v>
      </c>
      <c r="F668" s="16">
        <f ca="1" t="shared" si="67"/>
        <v>0</v>
      </c>
      <c r="G668" s="16">
        <f ca="1" t="shared" si="66"/>
        <v>0</v>
      </c>
    </row>
    <row r="669" spans="2:7">
      <c r="B669" s="17" t="str">
        <f t="shared" si="65"/>
        <v>5/2026</v>
      </c>
      <c r="C669" s="18">
        <f t="shared" si="68"/>
        <v>46145</v>
      </c>
      <c r="D669" s="18" t="str">
        <f t="shared" si="69"/>
        <v>03/05/2026 a 09/05/2026</v>
      </c>
      <c r="E669" s="16">
        <f t="shared" si="64"/>
        <v>3182</v>
      </c>
      <c r="F669" s="16">
        <f ca="1" t="shared" si="67"/>
        <v>0</v>
      </c>
      <c r="G669" s="16">
        <f ca="1" t="shared" si="66"/>
        <v>0</v>
      </c>
    </row>
    <row r="670" spans="2:7">
      <c r="B670" s="17" t="str">
        <f t="shared" si="65"/>
        <v>5/2026</v>
      </c>
      <c r="C670" s="18">
        <f t="shared" si="68"/>
        <v>46152</v>
      </c>
      <c r="D670" s="18" t="str">
        <f t="shared" si="69"/>
        <v>10/05/2026 a 16/05/2026</v>
      </c>
      <c r="E670" s="16">
        <f>E665+24</f>
        <v>3198</v>
      </c>
      <c r="F670" s="16">
        <f ca="1" t="shared" si="67"/>
        <v>0</v>
      </c>
      <c r="G670" s="16">
        <f ca="1" t="shared" si="66"/>
        <v>0</v>
      </c>
    </row>
    <row r="671" spans="2:7">
      <c r="B671" s="17" t="str">
        <f t="shared" si="65"/>
        <v>5/2026</v>
      </c>
      <c r="C671" s="18">
        <f t="shared" si="68"/>
        <v>46152</v>
      </c>
      <c r="D671" s="18" t="str">
        <f t="shared" si="69"/>
        <v>10/05/2026 a 16/05/2026</v>
      </c>
      <c r="E671" s="16">
        <f t="shared" si="64"/>
        <v>3200</v>
      </c>
      <c r="F671" s="16">
        <f ca="1" t="shared" si="67"/>
        <v>0</v>
      </c>
      <c r="G671" s="16">
        <f ca="1" t="shared" si="66"/>
        <v>0</v>
      </c>
    </row>
    <row r="672" spans="2:7">
      <c r="B672" s="17" t="str">
        <f t="shared" si="65"/>
        <v>5/2026</v>
      </c>
      <c r="C672" s="18">
        <f t="shared" si="68"/>
        <v>46152</v>
      </c>
      <c r="D672" s="18" t="str">
        <f t="shared" si="69"/>
        <v>10/05/2026 a 16/05/2026</v>
      </c>
      <c r="E672" s="16">
        <f t="shared" si="64"/>
        <v>3202</v>
      </c>
      <c r="F672" s="16">
        <f ca="1" t="shared" si="67"/>
        <v>0</v>
      </c>
      <c r="G672" s="16">
        <f ca="1" t="shared" si="66"/>
        <v>0</v>
      </c>
    </row>
    <row r="673" spans="2:7">
      <c r="B673" s="17" t="str">
        <f t="shared" si="65"/>
        <v>5/2026</v>
      </c>
      <c r="C673" s="18">
        <f t="shared" si="68"/>
        <v>46152</v>
      </c>
      <c r="D673" s="18" t="str">
        <f t="shared" si="69"/>
        <v>10/05/2026 a 16/05/2026</v>
      </c>
      <c r="E673" s="16">
        <f t="shared" si="64"/>
        <v>3204</v>
      </c>
      <c r="F673" s="16">
        <f ca="1" t="shared" si="67"/>
        <v>0</v>
      </c>
      <c r="G673" s="16">
        <f ca="1" t="shared" si="66"/>
        <v>0</v>
      </c>
    </row>
    <row r="674" spans="2:7">
      <c r="B674" s="17" t="str">
        <f t="shared" si="65"/>
        <v>5/2026</v>
      </c>
      <c r="C674" s="18">
        <f t="shared" si="68"/>
        <v>46152</v>
      </c>
      <c r="D674" s="18" t="str">
        <f t="shared" si="69"/>
        <v>10/05/2026 a 16/05/2026</v>
      </c>
      <c r="E674" s="16">
        <f t="shared" si="64"/>
        <v>3206</v>
      </c>
      <c r="F674" s="16">
        <f ca="1" t="shared" si="67"/>
        <v>0</v>
      </c>
      <c r="G674" s="16">
        <f ca="1" t="shared" si="66"/>
        <v>0</v>
      </c>
    </row>
    <row r="675" spans="2:7">
      <c r="B675" s="17" t="str">
        <f t="shared" si="65"/>
        <v>5/2026</v>
      </c>
      <c r="C675" s="18">
        <f t="shared" si="68"/>
        <v>46159</v>
      </c>
      <c r="D675" s="18" t="str">
        <f t="shared" si="69"/>
        <v>17/05/2026 a 23/05/2026</v>
      </c>
      <c r="E675" s="16">
        <f>E670+24</f>
        <v>3222</v>
      </c>
      <c r="F675" s="16">
        <f ca="1" t="shared" si="67"/>
        <v>0</v>
      </c>
      <c r="G675" s="16">
        <f ca="1" t="shared" si="66"/>
        <v>0</v>
      </c>
    </row>
    <row r="676" spans="2:7">
      <c r="B676" s="17" t="str">
        <f t="shared" si="65"/>
        <v>5/2026</v>
      </c>
      <c r="C676" s="18">
        <f t="shared" si="68"/>
        <v>46159</v>
      </c>
      <c r="D676" s="18" t="str">
        <f t="shared" si="69"/>
        <v>17/05/2026 a 23/05/2026</v>
      </c>
      <c r="E676" s="16">
        <f t="shared" ref="E676:E739" si="70">E675+2</f>
        <v>3224</v>
      </c>
      <c r="F676" s="16">
        <f ca="1" t="shared" si="67"/>
        <v>0</v>
      </c>
      <c r="G676" s="16">
        <f ca="1" t="shared" si="66"/>
        <v>0</v>
      </c>
    </row>
    <row r="677" spans="2:7">
      <c r="B677" s="17" t="str">
        <f t="shared" si="65"/>
        <v>5/2026</v>
      </c>
      <c r="C677" s="18">
        <f t="shared" si="68"/>
        <v>46159</v>
      </c>
      <c r="D677" s="18" t="str">
        <f t="shared" si="69"/>
        <v>17/05/2026 a 23/05/2026</v>
      </c>
      <c r="E677" s="16">
        <f t="shared" si="70"/>
        <v>3226</v>
      </c>
      <c r="F677" s="16">
        <f ca="1" t="shared" si="67"/>
        <v>0</v>
      </c>
      <c r="G677" s="16">
        <f ca="1" t="shared" si="66"/>
        <v>0</v>
      </c>
    </row>
    <row r="678" spans="2:7">
      <c r="B678" s="17" t="str">
        <f t="shared" si="65"/>
        <v>5/2026</v>
      </c>
      <c r="C678" s="18">
        <f t="shared" si="68"/>
        <v>46159</v>
      </c>
      <c r="D678" s="18" t="str">
        <f t="shared" si="69"/>
        <v>17/05/2026 a 23/05/2026</v>
      </c>
      <c r="E678" s="16">
        <f t="shared" si="70"/>
        <v>3228</v>
      </c>
      <c r="F678" s="16">
        <f ca="1" t="shared" si="67"/>
        <v>0</v>
      </c>
      <c r="G678" s="16">
        <f ca="1" t="shared" si="66"/>
        <v>0</v>
      </c>
    </row>
    <row r="679" spans="2:7">
      <c r="B679" s="17" t="str">
        <f t="shared" si="65"/>
        <v>5/2026</v>
      </c>
      <c r="C679" s="18">
        <f t="shared" si="68"/>
        <v>46159</v>
      </c>
      <c r="D679" s="18" t="str">
        <f t="shared" si="69"/>
        <v>17/05/2026 a 23/05/2026</v>
      </c>
      <c r="E679" s="16">
        <f t="shared" si="70"/>
        <v>3230</v>
      </c>
      <c r="F679" s="16">
        <f ca="1" t="shared" si="67"/>
        <v>0</v>
      </c>
      <c r="G679" s="16">
        <f ca="1" t="shared" si="66"/>
        <v>0</v>
      </c>
    </row>
    <row r="680" spans="2:7">
      <c r="B680" s="17" t="str">
        <f t="shared" si="65"/>
        <v>5/2026</v>
      </c>
      <c r="C680" s="18">
        <f t="shared" si="68"/>
        <v>46166</v>
      </c>
      <c r="D680" s="18" t="str">
        <f t="shared" si="69"/>
        <v>24/05/2026 a 30/05/2026</v>
      </c>
      <c r="E680" s="16">
        <f>E675+24</f>
        <v>3246</v>
      </c>
      <c r="F680" s="16">
        <f ca="1" t="shared" si="67"/>
        <v>0</v>
      </c>
      <c r="G680" s="16">
        <f ca="1" t="shared" si="66"/>
        <v>0</v>
      </c>
    </row>
    <row r="681" spans="2:7">
      <c r="B681" s="17" t="str">
        <f t="shared" si="65"/>
        <v>5/2026</v>
      </c>
      <c r="C681" s="18">
        <f t="shared" si="68"/>
        <v>46166</v>
      </c>
      <c r="D681" s="18" t="str">
        <f t="shared" si="69"/>
        <v>24/05/2026 a 30/05/2026</v>
      </c>
      <c r="E681" s="16">
        <f t="shared" si="70"/>
        <v>3248</v>
      </c>
      <c r="F681" s="16">
        <f ca="1" t="shared" si="67"/>
        <v>0</v>
      </c>
      <c r="G681" s="16">
        <f ca="1" t="shared" si="66"/>
        <v>0</v>
      </c>
    </row>
    <row r="682" spans="2:7">
      <c r="B682" s="17" t="str">
        <f t="shared" si="65"/>
        <v>5/2026</v>
      </c>
      <c r="C682" s="18">
        <f t="shared" si="68"/>
        <v>46166</v>
      </c>
      <c r="D682" s="18" t="str">
        <f t="shared" si="69"/>
        <v>24/05/2026 a 30/05/2026</v>
      </c>
      <c r="E682" s="16">
        <f t="shared" si="70"/>
        <v>3250</v>
      </c>
      <c r="F682" s="16">
        <f ca="1" t="shared" si="67"/>
        <v>0</v>
      </c>
      <c r="G682" s="16">
        <f ca="1" t="shared" si="66"/>
        <v>0</v>
      </c>
    </row>
    <row r="683" spans="2:7">
      <c r="B683" s="17" t="str">
        <f t="shared" si="65"/>
        <v>5/2026</v>
      </c>
      <c r="C683" s="18">
        <f t="shared" si="68"/>
        <v>46166</v>
      </c>
      <c r="D683" s="18" t="str">
        <f t="shared" si="69"/>
        <v>24/05/2026 a 30/05/2026</v>
      </c>
      <c r="E683" s="16">
        <f t="shared" si="70"/>
        <v>3252</v>
      </c>
      <c r="F683" s="16">
        <f ca="1" t="shared" si="67"/>
        <v>0</v>
      </c>
      <c r="G683" s="16">
        <f ca="1" t="shared" si="66"/>
        <v>0</v>
      </c>
    </row>
    <row r="684" spans="2:7">
      <c r="B684" s="17" t="str">
        <f t="shared" si="65"/>
        <v>5/2026</v>
      </c>
      <c r="C684" s="18">
        <f t="shared" si="68"/>
        <v>46166</v>
      </c>
      <c r="D684" s="18" t="str">
        <f t="shared" si="69"/>
        <v>24/05/2026 a 30/05/2026</v>
      </c>
      <c r="E684" s="16">
        <f t="shared" si="70"/>
        <v>3254</v>
      </c>
      <c r="F684" s="16">
        <f ca="1" t="shared" si="67"/>
        <v>0</v>
      </c>
      <c r="G684" s="16">
        <f ca="1" t="shared" si="66"/>
        <v>0</v>
      </c>
    </row>
    <row r="685" spans="2:7">
      <c r="B685" s="17" t="str">
        <f t="shared" si="65"/>
        <v>5/2026</v>
      </c>
      <c r="C685" s="18">
        <f t="shared" si="68"/>
        <v>46173</v>
      </c>
      <c r="D685" s="18" t="str">
        <f t="shared" si="69"/>
        <v>31/05/2026 a 06/06/2026</v>
      </c>
      <c r="E685" s="16">
        <f>E680+24</f>
        <v>3270</v>
      </c>
      <c r="F685" s="16">
        <f ca="1" t="shared" si="67"/>
        <v>0</v>
      </c>
      <c r="G685" s="16">
        <f ca="1" t="shared" si="66"/>
        <v>0</v>
      </c>
    </row>
    <row r="686" spans="2:7">
      <c r="B686" s="17" t="str">
        <f t="shared" si="65"/>
        <v>5/2026</v>
      </c>
      <c r="C686" s="18">
        <f t="shared" si="68"/>
        <v>46173</v>
      </c>
      <c r="D686" s="18" t="str">
        <f t="shared" si="69"/>
        <v>31/05/2026 a 06/06/2026</v>
      </c>
      <c r="E686" s="16">
        <f t="shared" si="70"/>
        <v>3272</v>
      </c>
      <c r="F686" s="16">
        <f ca="1" t="shared" si="67"/>
        <v>0</v>
      </c>
      <c r="G686" s="16">
        <f ca="1" t="shared" si="66"/>
        <v>0</v>
      </c>
    </row>
    <row r="687" spans="2:7">
      <c r="B687" s="17" t="str">
        <f t="shared" si="65"/>
        <v>5/2026</v>
      </c>
      <c r="C687" s="18">
        <f t="shared" si="68"/>
        <v>46173</v>
      </c>
      <c r="D687" s="18" t="str">
        <f t="shared" si="69"/>
        <v>31/05/2026 a 06/06/2026</v>
      </c>
      <c r="E687" s="16">
        <f t="shared" si="70"/>
        <v>3274</v>
      </c>
      <c r="F687" s="16">
        <f ca="1" t="shared" si="67"/>
        <v>0</v>
      </c>
      <c r="G687" s="16">
        <f ca="1" t="shared" si="66"/>
        <v>0</v>
      </c>
    </row>
    <row r="688" spans="2:7">
      <c r="B688" s="17" t="str">
        <f t="shared" si="65"/>
        <v>5/2026</v>
      </c>
      <c r="C688" s="18">
        <f t="shared" si="68"/>
        <v>46173</v>
      </c>
      <c r="D688" s="18" t="str">
        <f t="shared" si="69"/>
        <v>31/05/2026 a 06/06/2026</v>
      </c>
      <c r="E688" s="16">
        <f t="shared" si="70"/>
        <v>3276</v>
      </c>
      <c r="F688" s="16">
        <f ca="1" t="shared" si="67"/>
        <v>0</v>
      </c>
      <c r="G688" s="16">
        <f ca="1" t="shared" si="66"/>
        <v>0</v>
      </c>
    </row>
    <row r="689" spans="2:7">
      <c r="B689" s="17" t="str">
        <f t="shared" si="65"/>
        <v>5/2026</v>
      </c>
      <c r="C689" s="18">
        <f t="shared" si="68"/>
        <v>46173</v>
      </c>
      <c r="D689" s="18" t="str">
        <f t="shared" si="69"/>
        <v>31/05/2026 a 06/06/2026</v>
      </c>
      <c r="E689" s="16">
        <f t="shared" si="70"/>
        <v>3278</v>
      </c>
      <c r="F689" s="16">
        <f ca="1" t="shared" si="67"/>
        <v>0</v>
      </c>
      <c r="G689" s="16">
        <f ca="1" t="shared" si="66"/>
        <v>0</v>
      </c>
    </row>
    <row r="690" spans="2:7">
      <c r="B690" s="17" t="str">
        <f t="shared" si="65"/>
        <v>6/2026</v>
      </c>
      <c r="C690" s="18">
        <f t="shared" si="68"/>
        <v>46180</v>
      </c>
      <c r="D690" s="18" t="str">
        <f t="shared" si="69"/>
        <v>07/06/2026 a 13/06/2026</v>
      </c>
      <c r="E690" s="16">
        <f>E685+24</f>
        <v>3294</v>
      </c>
      <c r="F690" s="16">
        <f ca="1" t="shared" si="67"/>
        <v>0</v>
      </c>
      <c r="G690" s="16">
        <f ca="1" t="shared" si="66"/>
        <v>0</v>
      </c>
    </row>
    <row r="691" spans="2:7">
      <c r="B691" s="17" t="str">
        <f t="shared" si="65"/>
        <v>6/2026</v>
      </c>
      <c r="C691" s="18">
        <f t="shared" si="68"/>
        <v>46180</v>
      </c>
      <c r="D691" s="18" t="str">
        <f t="shared" si="69"/>
        <v>07/06/2026 a 13/06/2026</v>
      </c>
      <c r="E691" s="16">
        <f t="shared" si="70"/>
        <v>3296</v>
      </c>
      <c r="F691" s="16">
        <f ca="1" t="shared" si="67"/>
        <v>0</v>
      </c>
      <c r="G691" s="16">
        <f ca="1" t="shared" si="66"/>
        <v>0</v>
      </c>
    </row>
    <row r="692" spans="2:7">
      <c r="B692" s="17" t="str">
        <f t="shared" si="65"/>
        <v>6/2026</v>
      </c>
      <c r="C692" s="18">
        <f t="shared" si="68"/>
        <v>46180</v>
      </c>
      <c r="D692" s="18" t="str">
        <f t="shared" si="69"/>
        <v>07/06/2026 a 13/06/2026</v>
      </c>
      <c r="E692" s="16">
        <f t="shared" si="70"/>
        <v>3298</v>
      </c>
      <c r="F692" s="16">
        <f ca="1" t="shared" si="67"/>
        <v>0</v>
      </c>
      <c r="G692" s="16">
        <f ca="1" t="shared" si="66"/>
        <v>0</v>
      </c>
    </row>
    <row r="693" spans="2:7">
      <c r="B693" s="17" t="str">
        <f t="shared" si="65"/>
        <v>6/2026</v>
      </c>
      <c r="C693" s="18">
        <f t="shared" si="68"/>
        <v>46180</v>
      </c>
      <c r="D693" s="18" t="str">
        <f t="shared" si="69"/>
        <v>07/06/2026 a 13/06/2026</v>
      </c>
      <c r="E693" s="16">
        <f t="shared" si="70"/>
        <v>3300</v>
      </c>
      <c r="F693" s="16">
        <f ca="1" t="shared" si="67"/>
        <v>0</v>
      </c>
      <c r="G693" s="16">
        <f ca="1" t="shared" si="66"/>
        <v>0</v>
      </c>
    </row>
    <row r="694" spans="2:7">
      <c r="B694" s="17" t="str">
        <f t="shared" si="65"/>
        <v>6/2026</v>
      </c>
      <c r="C694" s="18">
        <f t="shared" si="68"/>
        <v>46180</v>
      </c>
      <c r="D694" s="18" t="str">
        <f t="shared" si="69"/>
        <v>07/06/2026 a 13/06/2026</v>
      </c>
      <c r="E694" s="16">
        <f t="shared" si="70"/>
        <v>3302</v>
      </c>
      <c r="F694" s="16">
        <f ca="1" t="shared" si="67"/>
        <v>0</v>
      </c>
      <c r="G694" s="16">
        <f ca="1" t="shared" si="66"/>
        <v>0</v>
      </c>
    </row>
    <row r="695" spans="2:7">
      <c r="B695" s="17" t="str">
        <f t="shared" si="65"/>
        <v>6/2026</v>
      </c>
      <c r="C695" s="18">
        <f t="shared" si="68"/>
        <v>46187</v>
      </c>
      <c r="D695" s="18" t="str">
        <f t="shared" si="69"/>
        <v>14/06/2026 a 20/06/2026</v>
      </c>
      <c r="E695" s="16">
        <f>E690+24</f>
        <v>3318</v>
      </c>
      <c r="F695" s="16">
        <f ca="1" t="shared" si="67"/>
        <v>0</v>
      </c>
      <c r="G695" s="16">
        <f ca="1" t="shared" si="66"/>
        <v>0</v>
      </c>
    </row>
    <row r="696" spans="2:7">
      <c r="B696" s="17" t="str">
        <f t="shared" si="65"/>
        <v>6/2026</v>
      </c>
      <c r="C696" s="18">
        <f t="shared" si="68"/>
        <v>46187</v>
      </c>
      <c r="D696" s="18" t="str">
        <f t="shared" si="69"/>
        <v>14/06/2026 a 20/06/2026</v>
      </c>
      <c r="E696" s="16">
        <f t="shared" si="70"/>
        <v>3320</v>
      </c>
      <c r="F696" s="16">
        <f ca="1" t="shared" si="67"/>
        <v>0</v>
      </c>
      <c r="G696" s="16">
        <f ca="1" t="shared" si="66"/>
        <v>0</v>
      </c>
    </row>
    <row r="697" spans="2:7">
      <c r="B697" s="17" t="str">
        <f t="shared" ref="B697:B760" si="71">MONTH(C697)&amp;"/"&amp;YEAR(C697)</f>
        <v>6/2026</v>
      </c>
      <c r="C697" s="18">
        <f t="shared" si="68"/>
        <v>46187</v>
      </c>
      <c r="D697" s="18" t="str">
        <f t="shared" si="69"/>
        <v>14/06/2026 a 20/06/2026</v>
      </c>
      <c r="E697" s="16">
        <f t="shared" si="70"/>
        <v>3322</v>
      </c>
      <c r="F697" s="16">
        <f ca="1" t="shared" si="67"/>
        <v>0</v>
      </c>
      <c r="G697" s="16">
        <f ca="1" t="shared" ref="G697:G760" si="72">INDIRECT("'Diário'!J"&amp;E697)</f>
        <v>0</v>
      </c>
    </row>
    <row r="698" spans="2:7">
      <c r="B698" s="17" t="str">
        <f t="shared" si="71"/>
        <v>6/2026</v>
      </c>
      <c r="C698" s="18">
        <f t="shared" si="68"/>
        <v>46187</v>
      </c>
      <c r="D698" s="18" t="str">
        <f t="shared" si="69"/>
        <v>14/06/2026 a 20/06/2026</v>
      </c>
      <c r="E698" s="16">
        <f t="shared" si="70"/>
        <v>3324</v>
      </c>
      <c r="F698" s="16">
        <f ca="1" t="shared" si="67"/>
        <v>0</v>
      </c>
      <c r="G698" s="16">
        <f ca="1" t="shared" si="72"/>
        <v>0</v>
      </c>
    </row>
    <row r="699" spans="2:7">
      <c r="B699" s="17" t="str">
        <f t="shared" si="71"/>
        <v>6/2026</v>
      </c>
      <c r="C699" s="18">
        <f t="shared" si="68"/>
        <v>46187</v>
      </c>
      <c r="D699" s="18" t="str">
        <f t="shared" si="69"/>
        <v>14/06/2026 a 20/06/2026</v>
      </c>
      <c r="E699" s="16">
        <f t="shared" si="70"/>
        <v>3326</v>
      </c>
      <c r="F699" s="16">
        <f ca="1" t="shared" si="67"/>
        <v>0</v>
      </c>
      <c r="G699" s="16">
        <f ca="1" t="shared" si="72"/>
        <v>0</v>
      </c>
    </row>
    <row r="700" spans="2:7">
      <c r="B700" s="17" t="str">
        <f t="shared" si="71"/>
        <v>6/2026</v>
      </c>
      <c r="C700" s="18">
        <f t="shared" si="68"/>
        <v>46194</v>
      </c>
      <c r="D700" s="18" t="str">
        <f t="shared" si="69"/>
        <v>21/06/2026 a 27/06/2026</v>
      </c>
      <c r="E700" s="16">
        <f>E695+24</f>
        <v>3342</v>
      </c>
      <c r="F700" s="16">
        <f ca="1" t="shared" si="67"/>
        <v>0</v>
      </c>
      <c r="G700" s="16">
        <f ca="1" t="shared" si="72"/>
        <v>0</v>
      </c>
    </row>
    <row r="701" spans="2:7">
      <c r="B701" s="17" t="str">
        <f t="shared" si="71"/>
        <v>6/2026</v>
      </c>
      <c r="C701" s="18">
        <f t="shared" si="68"/>
        <v>46194</v>
      </c>
      <c r="D701" s="18" t="str">
        <f t="shared" si="69"/>
        <v>21/06/2026 a 27/06/2026</v>
      </c>
      <c r="E701" s="16">
        <f t="shared" si="70"/>
        <v>3344</v>
      </c>
      <c r="F701" s="16">
        <f ca="1" t="shared" si="67"/>
        <v>0</v>
      </c>
      <c r="G701" s="16">
        <f ca="1" t="shared" si="72"/>
        <v>0</v>
      </c>
    </row>
    <row r="702" spans="2:7">
      <c r="B702" s="17" t="str">
        <f t="shared" si="71"/>
        <v>6/2026</v>
      </c>
      <c r="C702" s="18">
        <f t="shared" si="68"/>
        <v>46194</v>
      </c>
      <c r="D702" s="18" t="str">
        <f t="shared" si="69"/>
        <v>21/06/2026 a 27/06/2026</v>
      </c>
      <c r="E702" s="16">
        <f t="shared" si="70"/>
        <v>3346</v>
      </c>
      <c r="F702" s="16">
        <f ca="1" t="shared" ref="F702:F765" si="73">INDIRECT("Diário!I"&amp;E702)</f>
        <v>0</v>
      </c>
      <c r="G702" s="16">
        <f ca="1" t="shared" si="72"/>
        <v>0</v>
      </c>
    </row>
    <row r="703" spans="2:7">
      <c r="B703" s="17" t="str">
        <f t="shared" si="71"/>
        <v>6/2026</v>
      </c>
      <c r="C703" s="18">
        <f t="shared" si="68"/>
        <v>46194</v>
      </c>
      <c r="D703" s="18" t="str">
        <f t="shared" si="69"/>
        <v>21/06/2026 a 27/06/2026</v>
      </c>
      <c r="E703" s="16">
        <f t="shared" si="70"/>
        <v>3348</v>
      </c>
      <c r="F703" s="16">
        <f ca="1" t="shared" si="73"/>
        <v>0</v>
      </c>
      <c r="G703" s="16">
        <f ca="1" t="shared" si="72"/>
        <v>0</v>
      </c>
    </row>
    <row r="704" spans="2:7">
      <c r="B704" s="17" t="str">
        <f t="shared" si="71"/>
        <v>6/2026</v>
      </c>
      <c r="C704" s="18">
        <f t="shared" si="68"/>
        <v>46194</v>
      </c>
      <c r="D704" s="18" t="str">
        <f t="shared" si="69"/>
        <v>21/06/2026 a 27/06/2026</v>
      </c>
      <c r="E704" s="16">
        <f t="shared" si="70"/>
        <v>3350</v>
      </c>
      <c r="F704" s="16">
        <f ca="1" t="shared" si="73"/>
        <v>0</v>
      </c>
      <c r="G704" s="16">
        <f ca="1" t="shared" si="72"/>
        <v>0</v>
      </c>
    </row>
    <row r="705" spans="2:7">
      <c r="B705" s="17" t="str">
        <f t="shared" si="71"/>
        <v>6/2026</v>
      </c>
      <c r="C705" s="18">
        <f t="shared" si="68"/>
        <v>46201</v>
      </c>
      <c r="D705" s="18" t="str">
        <f t="shared" si="69"/>
        <v>28/06/2026 a 04/07/2026</v>
      </c>
      <c r="E705" s="16">
        <f>E700+24</f>
        <v>3366</v>
      </c>
      <c r="F705" s="16">
        <f ca="1" t="shared" si="73"/>
        <v>0</v>
      </c>
      <c r="G705" s="16">
        <f ca="1" t="shared" si="72"/>
        <v>0</v>
      </c>
    </row>
    <row r="706" spans="2:7">
      <c r="B706" s="17" t="str">
        <f t="shared" si="71"/>
        <v>6/2026</v>
      </c>
      <c r="C706" s="18">
        <f t="shared" si="68"/>
        <v>46201</v>
      </c>
      <c r="D706" s="18" t="str">
        <f t="shared" si="69"/>
        <v>28/06/2026 a 04/07/2026</v>
      </c>
      <c r="E706" s="16">
        <f t="shared" si="70"/>
        <v>3368</v>
      </c>
      <c r="F706" s="16">
        <f ca="1" t="shared" si="73"/>
        <v>0</v>
      </c>
      <c r="G706" s="16">
        <f ca="1" t="shared" si="72"/>
        <v>0</v>
      </c>
    </row>
    <row r="707" spans="2:7">
      <c r="B707" s="17" t="str">
        <f t="shared" si="71"/>
        <v>6/2026</v>
      </c>
      <c r="C707" s="18">
        <f t="shared" si="68"/>
        <v>46201</v>
      </c>
      <c r="D707" s="18" t="str">
        <f t="shared" si="69"/>
        <v>28/06/2026 a 04/07/2026</v>
      </c>
      <c r="E707" s="16">
        <f t="shared" si="70"/>
        <v>3370</v>
      </c>
      <c r="F707" s="16">
        <f ca="1" t="shared" si="73"/>
        <v>0</v>
      </c>
      <c r="G707" s="16">
        <f ca="1" t="shared" si="72"/>
        <v>0</v>
      </c>
    </row>
    <row r="708" spans="2:7">
      <c r="B708" s="17" t="str">
        <f t="shared" si="71"/>
        <v>6/2026</v>
      </c>
      <c r="C708" s="18">
        <f t="shared" si="68"/>
        <v>46201</v>
      </c>
      <c r="D708" s="18" t="str">
        <f t="shared" si="69"/>
        <v>28/06/2026 a 04/07/2026</v>
      </c>
      <c r="E708" s="16">
        <f t="shared" si="70"/>
        <v>3372</v>
      </c>
      <c r="F708" s="16">
        <f ca="1" t="shared" si="73"/>
        <v>0</v>
      </c>
      <c r="G708" s="16">
        <f ca="1" t="shared" si="72"/>
        <v>0</v>
      </c>
    </row>
    <row r="709" spans="2:7">
      <c r="B709" s="17" t="str">
        <f t="shared" si="71"/>
        <v>6/2026</v>
      </c>
      <c r="C709" s="18">
        <f t="shared" si="68"/>
        <v>46201</v>
      </c>
      <c r="D709" s="18" t="str">
        <f t="shared" si="69"/>
        <v>28/06/2026 a 04/07/2026</v>
      </c>
      <c r="E709" s="16">
        <f t="shared" si="70"/>
        <v>3374</v>
      </c>
      <c r="F709" s="16">
        <f ca="1" t="shared" si="73"/>
        <v>0</v>
      </c>
      <c r="G709" s="16">
        <f ca="1" t="shared" si="72"/>
        <v>0</v>
      </c>
    </row>
    <row r="710" spans="2:7">
      <c r="B710" s="17" t="str">
        <f t="shared" si="71"/>
        <v>7/2026</v>
      </c>
      <c r="C710" s="18">
        <f t="shared" si="68"/>
        <v>46208</v>
      </c>
      <c r="D710" s="18" t="str">
        <f t="shared" si="69"/>
        <v>05/07/2026 a 11/07/2026</v>
      </c>
      <c r="E710" s="16">
        <f>E705+24</f>
        <v>3390</v>
      </c>
      <c r="F710" s="16">
        <f ca="1" t="shared" si="73"/>
        <v>0</v>
      </c>
      <c r="G710" s="16">
        <f ca="1" t="shared" si="72"/>
        <v>0</v>
      </c>
    </row>
    <row r="711" spans="2:7">
      <c r="B711" s="17" t="str">
        <f t="shared" si="71"/>
        <v>7/2026</v>
      </c>
      <c r="C711" s="18">
        <f t="shared" si="68"/>
        <v>46208</v>
      </c>
      <c r="D711" s="18" t="str">
        <f t="shared" si="69"/>
        <v>05/07/2026 a 11/07/2026</v>
      </c>
      <c r="E711" s="16">
        <f t="shared" si="70"/>
        <v>3392</v>
      </c>
      <c r="F711" s="16">
        <f ca="1" t="shared" si="73"/>
        <v>0</v>
      </c>
      <c r="G711" s="16">
        <f ca="1" t="shared" si="72"/>
        <v>0</v>
      </c>
    </row>
    <row r="712" spans="2:7">
      <c r="B712" s="17" t="str">
        <f t="shared" si="71"/>
        <v>7/2026</v>
      </c>
      <c r="C712" s="18">
        <f t="shared" si="68"/>
        <v>46208</v>
      </c>
      <c r="D712" s="18" t="str">
        <f t="shared" si="69"/>
        <v>05/07/2026 a 11/07/2026</v>
      </c>
      <c r="E712" s="16">
        <f t="shared" si="70"/>
        <v>3394</v>
      </c>
      <c r="F712" s="16">
        <f ca="1" t="shared" si="73"/>
        <v>0</v>
      </c>
      <c r="G712" s="16">
        <f ca="1" t="shared" si="72"/>
        <v>0</v>
      </c>
    </row>
    <row r="713" spans="2:7">
      <c r="B713" s="17" t="str">
        <f t="shared" si="71"/>
        <v>7/2026</v>
      </c>
      <c r="C713" s="18">
        <f t="shared" si="68"/>
        <v>46208</v>
      </c>
      <c r="D713" s="18" t="str">
        <f t="shared" si="69"/>
        <v>05/07/2026 a 11/07/2026</v>
      </c>
      <c r="E713" s="16">
        <f t="shared" si="70"/>
        <v>3396</v>
      </c>
      <c r="F713" s="16">
        <f ca="1" t="shared" si="73"/>
        <v>0</v>
      </c>
      <c r="G713" s="16">
        <f ca="1" t="shared" si="72"/>
        <v>0</v>
      </c>
    </row>
    <row r="714" spans="2:7">
      <c r="B714" s="17" t="str">
        <f t="shared" si="71"/>
        <v>7/2026</v>
      </c>
      <c r="C714" s="18">
        <f t="shared" si="68"/>
        <v>46208</v>
      </c>
      <c r="D714" s="18" t="str">
        <f t="shared" si="69"/>
        <v>05/07/2026 a 11/07/2026</v>
      </c>
      <c r="E714" s="16">
        <f t="shared" si="70"/>
        <v>3398</v>
      </c>
      <c r="F714" s="16">
        <f ca="1" t="shared" si="73"/>
        <v>0</v>
      </c>
      <c r="G714" s="16">
        <f ca="1" t="shared" si="72"/>
        <v>0</v>
      </c>
    </row>
    <row r="715" spans="2:7">
      <c r="B715" s="17" t="str">
        <f t="shared" si="71"/>
        <v>7/2026</v>
      </c>
      <c r="C715" s="18">
        <f t="shared" si="68"/>
        <v>46215</v>
      </c>
      <c r="D715" s="18" t="str">
        <f t="shared" si="69"/>
        <v>12/07/2026 a 18/07/2026</v>
      </c>
      <c r="E715" s="16">
        <f>E710+24</f>
        <v>3414</v>
      </c>
      <c r="F715" s="16">
        <f ca="1" t="shared" si="73"/>
        <v>0</v>
      </c>
      <c r="G715" s="16">
        <f ca="1" t="shared" si="72"/>
        <v>0</v>
      </c>
    </row>
    <row r="716" spans="2:7">
      <c r="B716" s="17" t="str">
        <f t="shared" si="71"/>
        <v>7/2026</v>
      </c>
      <c r="C716" s="18">
        <f t="shared" si="68"/>
        <v>46215</v>
      </c>
      <c r="D716" s="18" t="str">
        <f t="shared" si="69"/>
        <v>12/07/2026 a 18/07/2026</v>
      </c>
      <c r="E716" s="16">
        <f t="shared" si="70"/>
        <v>3416</v>
      </c>
      <c r="F716" s="16">
        <f ca="1" t="shared" si="73"/>
        <v>0</v>
      </c>
      <c r="G716" s="16">
        <f ca="1" t="shared" si="72"/>
        <v>0</v>
      </c>
    </row>
    <row r="717" spans="2:7">
      <c r="B717" s="17" t="str">
        <f t="shared" si="71"/>
        <v>7/2026</v>
      </c>
      <c r="C717" s="18">
        <f t="shared" si="68"/>
        <v>46215</v>
      </c>
      <c r="D717" s="18" t="str">
        <f t="shared" si="69"/>
        <v>12/07/2026 a 18/07/2026</v>
      </c>
      <c r="E717" s="16">
        <f t="shared" si="70"/>
        <v>3418</v>
      </c>
      <c r="F717" s="16">
        <f ca="1" t="shared" si="73"/>
        <v>0</v>
      </c>
      <c r="G717" s="16">
        <f ca="1" t="shared" si="72"/>
        <v>0</v>
      </c>
    </row>
    <row r="718" spans="2:7">
      <c r="B718" s="17" t="str">
        <f t="shared" si="71"/>
        <v>7/2026</v>
      </c>
      <c r="C718" s="18">
        <f t="shared" si="68"/>
        <v>46215</v>
      </c>
      <c r="D718" s="18" t="str">
        <f t="shared" si="69"/>
        <v>12/07/2026 a 18/07/2026</v>
      </c>
      <c r="E718" s="16">
        <f t="shared" si="70"/>
        <v>3420</v>
      </c>
      <c r="F718" s="16">
        <f ca="1" t="shared" si="73"/>
        <v>0</v>
      </c>
      <c r="G718" s="16">
        <f ca="1" t="shared" si="72"/>
        <v>0</v>
      </c>
    </row>
    <row r="719" spans="2:7">
      <c r="B719" s="17" t="str">
        <f t="shared" si="71"/>
        <v>7/2026</v>
      </c>
      <c r="C719" s="18">
        <f t="shared" si="68"/>
        <v>46215</v>
      </c>
      <c r="D719" s="18" t="str">
        <f t="shared" si="69"/>
        <v>12/07/2026 a 18/07/2026</v>
      </c>
      <c r="E719" s="16">
        <f t="shared" si="70"/>
        <v>3422</v>
      </c>
      <c r="F719" s="16">
        <f ca="1" t="shared" si="73"/>
        <v>0</v>
      </c>
      <c r="G719" s="16">
        <f ca="1" t="shared" si="72"/>
        <v>0</v>
      </c>
    </row>
    <row r="720" spans="2:7">
      <c r="B720" s="17" t="str">
        <f t="shared" si="71"/>
        <v>7/2026</v>
      </c>
      <c r="C720" s="18">
        <f t="shared" si="68"/>
        <v>46222</v>
      </c>
      <c r="D720" s="18" t="str">
        <f t="shared" si="69"/>
        <v>19/07/2026 a 25/07/2026</v>
      </c>
      <c r="E720" s="16">
        <f>E715+24</f>
        <v>3438</v>
      </c>
      <c r="F720" s="16">
        <f ca="1" t="shared" si="73"/>
        <v>0</v>
      </c>
      <c r="G720" s="16">
        <f ca="1" t="shared" si="72"/>
        <v>0</v>
      </c>
    </row>
    <row r="721" spans="2:7">
      <c r="B721" s="17" t="str">
        <f t="shared" si="71"/>
        <v>7/2026</v>
      </c>
      <c r="C721" s="18">
        <f t="shared" si="68"/>
        <v>46222</v>
      </c>
      <c r="D721" s="18" t="str">
        <f t="shared" si="69"/>
        <v>19/07/2026 a 25/07/2026</v>
      </c>
      <c r="E721" s="16">
        <f t="shared" si="70"/>
        <v>3440</v>
      </c>
      <c r="F721" s="16">
        <f ca="1" t="shared" si="73"/>
        <v>0</v>
      </c>
      <c r="G721" s="16">
        <f ca="1" t="shared" si="72"/>
        <v>0</v>
      </c>
    </row>
    <row r="722" spans="2:7">
      <c r="B722" s="17" t="str">
        <f t="shared" si="71"/>
        <v>7/2026</v>
      </c>
      <c r="C722" s="18">
        <f t="shared" ref="C722:C785" si="74">C717+7</f>
        <v>46222</v>
      </c>
      <c r="D722" s="18" t="str">
        <f t="shared" si="69"/>
        <v>19/07/2026 a 25/07/2026</v>
      </c>
      <c r="E722" s="16">
        <f t="shared" si="70"/>
        <v>3442</v>
      </c>
      <c r="F722" s="16">
        <f ca="1" t="shared" si="73"/>
        <v>0</v>
      </c>
      <c r="G722" s="16">
        <f ca="1" t="shared" si="72"/>
        <v>0</v>
      </c>
    </row>
    <row r="723" spans="2:7">
      <c r="B723" s="17" t="str">
        <f t="shared" si="71"/>
        <v>7/2026</v>
      </c>
      <c r="C723" s="18">
        <f t="shared" si="74"/>
        <v>46222</v>
      </c>
      <c r="D723" s="18" t="str">
        <f t="shared" ref="D723:D786" si="75">TEXT((C723),"DD/MM/AAAA")&amp;" a "&amp;TEXT((C723+6),"DD/MM/AAAA")</f>
        <v>19/07/2026 a 25/07/2026</v>
      </c>
      <c r="E723" s="16">
        <f t="shared" si="70"/>
        <v>3444</v>
      </c>
      <c r="F723" s="16">
        <f ca="1" t="shared" si="73"/>
        <v>0</v>
      </c>
      <c r="G723" s="16">
        <f ca="1" t="shared" si="72"/>
        <v>0</v>
      </c>
    </row>
    <row r="724" spans="2:7">
      <c r="B724" s="17" t="str">
        <f t="shared" si="71"/>
        <v>7/2026</v>
      </c>
      <c r="C724" s="18">
        <f t="shared" si="74"/>
        <v>46222</v>
      </c>
      <c r="D724" s="18" t="str">
        <f t="shared" si="75"/>
        <v>19/07/2026 a 25/07/2026</v>
      </c>
      <c r="E724" s="16">
        <f t="shared" si="70"/>
        <v>3446</v>
      </c>
      <c r="F724" s="16">
        <f ca="1" t="shared" si="73"/>
        <v>0</v>
      </c>
      <c r="G724" s="16">
        <f ca="1" t="shared" si="72"/>
        <v>0</v>
      </c>
    </row>
    <row r="725" spans="2:7">
      <c r="B725" s="17" t="str">
        <f t="shared" si="71"/>
        <v>7/2026</v>
      </c>
      <c r="C725" s="18">
        <f t="shared" si="74"/>
        <v>46229</v>
      </c>
      <c r="D725" s="18" t="str">
        <f t="shared" si="75"/>
        <v>26/07/2026 a 01/08/2026</v>
      </c>
      <c r="E725" s="16">
        <f>E720+24</f>
        <v>3462</v>
      </c>
      <c r="F725" s="16">
        <f ca="1" t="shared" si="73"/>
        <v>0</v>
      </c>
      <c r="G725" s="16">
        <f ca="1" t="shared" si="72"/>
        <v>0</v>
      </c>
    </row>
    <row r="726" spans="2:7">
      <c r="B726" s="17" t="str">
        <f t="shared" si="71"/>
        <v>7/2026</v>
      </c>
      <c r="C726" s="18">
        <f t="shared" si="74"/>
        <v>46229</v>
      </c>
      <c r="D726" s="18" t="str">
        <f t="shared" si="75"/>
        <v>26/07/2026 a 01/08/2026</v>
      </c>
      <c r="E726" s="16">
        <f t="shared" si="70"/>
        <v>3464</v>
      </c>
      <c r="F726" s="16">
        <f ca="1" t="shared" si="73"/>
        <v>0</v>
      </c>
      <c r="G726" s="16">
        <f ca="1" t="shared" si="72"/>
        <v>0</v>
      </c>
    </row>
    <row r="727" spans="2:7">
      <c r="B727" s="17" t="str">
        <f t="shared" si="71"/>
        <v>7/2026</v>
      </c>
      <c r="C727" s="18">
        <f t="shared" si="74"/>
        <v>46229</v>
      </c>
      <c r="D727" s="18" t="str">
        <f t="shared" si="75"/>
        <v>26/07/2026 a 01/08/2026</v>
      </c>
      <c r="E727" s="16">
        <f t="shared" si="70"/>
        <v>3466</v>
      </c>
      <c r="F727" s="16">
        <f ca="1" t="shared" si="73"/>
        <v>0</v>
      </c>
      <c r="G727" s="16">
        <f ca="1" t="shared" si="72"/>
        <v>0</v>
      </c>
    </row>
    <row r="728" spans="2:7">
      <c r="B728" s="17" t="str">
        <f t="shared" si="71"/>
        <v>7/2026</v>
      </c>
      <c r="C728" s="18">
        <f t="shared" si="74"/>
        <v>46229</v>
      </c>
      <c r="D728" s="18" t="str">
        <f t="shared" si="75"/>
        <v>26/07/2026 a 01/08/2026</v>
      </c>
      <c r="E728" s="16">
        <f t="shared" si="70"/>
        <v>3468</v>
      </c>
      <c r="F728" s="16">
        <f ca="1" t="shared" si="73"/>
        <v>0</v>
      </c>
      <c r="G728" s="16">
        <f ca="1" t="shared" si="72"/>
        <v>0</v>
      </c>
    </row>
    <row r="729" spans="2:7">
      <c r="B729" s="17" t="str">
        <f t="shared" si="71"/>
        <v>7/2026</v>
      </c>
      <c r="C729" s="18">
        <f t="shared" si="74"/>
        <v>46229</v>
      </c>
      <c r="D729" s="18" t="str">
        <f t="shared" si="75"/>
        <v>26/07/2026 a 01/08/2026</v>
      </c>
      <c r="E729" s="16">
        <f t="shared" si="70"/>
        <v>3470</v>
      </c>
      <c r="F729" s="16">
        <f ca="1" t="shared" si="73"/>
        <v>0</v>
      </c>
      <c r="G729" s="16">
        <f ca="1" t="shared" si="72"/>
        <v>0</v>
      </c>
    </row>
    <row r="730" spans="2:7">
      <c r="B730" s="17" t="str">
        <f t="shared" si="71"/>
        <v>8/2026</v>
      </c>
      <c r="C730" s="18">
        <f t="shared" si="74"/>
        <v>46236</v>
      </c>
      <c r="D730" s="18" t="str">
        <f t="shared" si="75"/>
        <v>02/08/2026 a 08/08/2026</v>
      </c>
      <c r="E730" s="16">
        <f>E725+24</f>
        <v>3486</v>
      </c>
      <c r="F730" s="16">
        <f ca="1" t="shared" si="73"/>
        <v>0</v>
      </c>
      <c r="G730" s="16">
        <f ca="1" t="shared" si="72"/>
        <v>0</v>
      </c>
    </row>
    <row r="731" spans="2:7">
      <c r="B731" s="17" t="str">
        <f t="shared" si="71"/>
        <v>8/2026</v>
      </c>
      <c r="C731" s="18">
        <f t="shared" si="74"/>
        <v>46236</v>
      </c>
      <c r="D731" s="18" t="str">
        <f t="shared" si="75"/>
        <v>02/08/2026 a 08/08/2026</v>
      </c>
      <c r="E731" s="16">
        <f t="shared" si="70"/>
        <v>3488</v>
      </c>
      <c r="F731" s="16">
        <f ca="1" t="shared" si="73"/>
        <v>0</v>
      </c>
      <c r="G731" s="16">
        <f ca="1" t="shared" si="72"/>
        <v>0</v>
      </c>
    </row>
    <row r="732" spans="2:7">
      <c r="B732" s="17" t="str">
        <f t="shared" si="71"/>
        <v>8/2026</v>
      </c>
      <c r="C732" s="18">
        <f t="shared" si="74"/>
        <v>46236</v>
      </c>
      <c r="D732" s="18" t="str">
        <f t="shared" si="75"/>
        <v>02/08/2026 a 08/08/2026</v>
      </c>
      <c r="E732" s="16">
        <f t="shared" si="70"/>
        <v>3490</v>
      </c>
      <c r="F732" s="16">
        <f ca="1" t="shared" si="73"/>
        <v>0</v>
      </c>
      <c r="G732" s="16">
        <f ca="1" t="shared" si="72"/>
        <v>0</v>
      </c>
    </row>
    <row r="733" spans="2:7">
      <c r="B733" s="17" t="str">
        <f t="shared" si="71"/>
        <v>8/2026</v>
      </c>
      <c r="C733" s="18">
        <f t="shared" si="74"/>
        <v>46236</v>
      </c>
      <c r="D733" s="18" t="str">
        <f t="shared" si="75"/>
        <v>02/08/2026 a 08/08/2026</v>
      </c>
      <c r="E733" s="16">
        <f t="shared" si="70"/>
        <v>3492</v>
      </c>
      <c r="F733" s="16">
        <f ca="1" t="shared" si="73"/>
        <v>0</v>
      </c>
      <c r="G733" s="16">
        <f ca="1" t="shared" si="72"/>
        <v>0</v>
      </c>
    </row>
    <row r="734" spans="2:7">
      <c r="B734" s="17" t="str">
        <f t="shared" si="71"/>
        <v>8/2026</v>
      </c>
      <c r="C734" s="18">
        <f t="shared" si="74"/>
        <v>46236</v>
      </c>
      <c r="D734" s="18" t="str">
        <f t="shared" si="75"/>
        <v>02/08/2026 a 08/08/2026</v>
      </c>
      <c r="E734" s="16">
        <f t="shared" si="70"/>
        <v>3494</v>
      </c>
      <c r="F734" s="16">
        <f ca="1" t="shared" si="73"/>
        <v>0</v>
      </c>
      <c r="G734" s="16">
        <f ca="1" t="shared" si="72"/>
        <v>0</v>
      </c>
    </row>
    <row r="735" spans="2:7">
      <c r="B735" s="17" t="str">
        <f t="shared" si="71"/>
        <v>8/2026</v>
      </c>
      <c r="C735" s="18">
        <f t="shared" si="74"/>
        <v>46243</v>
      </c>
      <c r="D735" s="18" t="str">
        <f t="shared" si="75"/>
        <v>09/08/2026 a 15/08/2026</v>
      </c>
      <c r="E735" s="16">
        <f>E730+24</f>
        <v>3510</v>
      </c>
      <c r="F735" s="16">
        <f ca="1" t="shared" si="73"/>
        <v>0</v>
      </c>
      <c r="G735" s="16">
        <f ca="1" t="shared" si="72"/>
        <v>0</v>
      </c>
    </row>
    <row r="736" spans="2:7">
      <c r="B736" s="17" t="str">
        <f t="shared" si="71"/>
        <v>8/2026</v>
      </c>
      <c r="C736" s="18">
        <f t="shared" si="74"/>
        <v>46243</v>
      </c>
      <c r="D736" s="18" t="str">
        <f t="shared" si="75"/>
        <v>09/08/2026 a 15/08/2026</v>
      </c>
      <c r="E736" s="16">
        <f t="shared" si="70"/>
        <v>3512</v>
      </c>
      <c r="F736" s="16">
        <f ca="1" t="shared" si="73"/>
        <v>0</v>
      </c>
      <c r="G736" s="16">
        <f ca="1" t="shared" si="72"/>
        <v>0</v>
      </c>
    </row>
    <row r="737" spans="2:7">
      <c r="B737" s="17" t="str">
        <f t="shared" si="71"/>
        <v>8/2026</v>
      </c>
      <c r="C737" s="18">
        <f t="shared" si="74"/>
        <v>46243</v>
      </c>
      <c r="D737" s="18" t="str">
        <f t="shared" si="75"/>
        <v>09/08/2026 a 15/08/2026</v>
      </c>
      <c r="E737" s="16">
        <f t="shared" si="70"/>
        <v>3514</v>
      </c>
      <c r="F737" s="16">
        <f ca="1" t="shared" si="73"/>
        <v>0</v>
      </c>
      <c r="G737" s="16">
        <f ca="1" t="shared" si="72"/>
        <v>0</v>
      </c>
    </row>
    <row r="738" spans="2:7">
      <c r="B738" s="17" t="str">
        <f t="shared" si="71"/>
        <v>8/2026</v>
      </c>
      <c r="C738" s="18">
        <f t="shared" si="74"/>
        <v>46243</v>
      </c>
      <c r="D738" s="18" t="str">
        <f t="shared" si="75"/>
        <v>09/08/2026 a 15/08/2026</v>
      </c>
      <c r="E738" s="16">
        <f t="shared" si="70"/>
        <v>3516</v>
      </c>
      <c r="F738" s="16">
        <f ca="1" t="shared" si="73"/>
        <v>0</v>
      </c>
      <c r="G738" s="16">
        <f ca="1" t="shared" si="72"/>
        <v>0</v>
      </c>
    </row>
    <row r="739" spans="2:7">
      <c r="B739" s="17" t="str">
        <f t="shared" si="71"/>
        <v>8/2026</v>
      </c>
      <c r="C739" s="18">
        <f t="shared" si="74"/>
        <v>46243</v>
      </c>
      <c r="D739" s="18" t="str">
        <f t="shared" si="75"/>
        <v>09/08/2026 a 15/08/2026</v>
      </c>
      <c r="E739" s="16">
        <f t="shared" si="70"/>
        <v>3518</v>
      </c>
      <c r="F739" s="16">
        <f ca="1" t="shared" si="73"/>
        <v>0</v>
      </c>
      <c r="G739" s="16">
        <f ca="1" t="shared" si="72"/>
        <v>0</v>
      </c>
    </row>
    <row r="740" spans="2:7">
      <c r="B740" s="17" t="str">
        <f t="shared" si="71"/>
        <v>8/2026</v>
      </c>
      <c r="C740" s="18">
        <f t="shared" si="74"/>
        <v>46250</v>
      </c>
      <c r="D740" s="18" t="str">
        <f t="shared" si="75"/>
        <v>16/08/2026 a 22/08/2026</v>
      </c>
      <c r="E740" s="16">
        <f>E735+24</f>
        <v>3534</v>
      </c>
      <c r="F740" s="16">
        <f ca="1" t="shared" si="73"/>
        <v>0</v>
      </c>
      <c r="G740" s="16">
        <f ca="1" t="shared" si="72"/>
        <v>0</v>
      </c>
    </row>
    <row r="741" spans="2:7">
      <c r="B741" s="17" t="str">
        <f t="shared" si="71"/>
        <v>8/2026</v>
      </c>
      <c r="C741" s="18">
        <f t="shared" si="74"/>
        <v>46250</v>
      </c>
      <c r="D741" s="18" t="str">
        <f t="shared" si="75"/>
        <v>16/08/2026 a 22/08/2026</v>
      </c>
      <c r="E741" s="16">
        <f t="shared" ref="E741:E804" si="76">E740+2</f>
        <v>3536</v>
      </c>
      <c r="F741" s="16">
        <f ca="1" t="shared" si="73"/>
        <v>0</v>
      </c>
      <c r="G741" s="16">
        <f ca="1" t="shared" si="72"/>
        <v>0</v>
      </c>
    </row>
    <row r="742" spans="2:7">
      <c r="B742" s="17" t="str">
        <f t="shared" si="71"/>
        <v>8/2026</v>
      </c>
      <c r="C742" s="18">
        <f t="shared" si="74"/>
        <v>46250</v>
      </c>
      <c r="D742" s="18" t="str">
        <f t="shared" si="75"/>
        <v>16/08/2026 a 22/08/2026</v>
      </c>
      <c r="E742" s="16">
        <f t="shared" si="76"/>
        <v>3538</v>
      </c>
      <c r="F742" s="16">
        <f ca="1" t="shared" si="73"/>
        <v>0</v>
      </c>
      <c r="G742" s="16">
        <f ca="1" t="shared" si="72"/>
        <v>0</v>
      </c>
    </row>
    <row r="743" spans="2:7">
      <c r="B743" s="17" t="str">
        <f t="shared" si="71"/>
        <v>8/2026</v>
      </c>
      <c r="C743" s="18">
        <f t="shared" si="74"/>
        <v>46250</v>
      </c>
      <c r="D743" s="18" t="str">
        <f t="shared" si="75"/>
        <v>16/08/2026 a 22/08/2026</v>
      </c>
      <c r="E743" s="16">
        <f t="shared" si="76"/>
        <v>3540</v>
      </c>
      <c r="F743" s="16">
        <f ca="1" t="shared" si="73"/>
        <v>0</v>
      </c>
      <c r="G743" s="16">
        <f ca="1" t="shared" si="72"/>
        <v>0</v>
      </c>
    </row>
    <row r="744" spans="2:7">
      <c r="B744" s="17" t="str">
        <f t="shared" si="71"/>
        <v>8/2026</v>
      </c>
      <c r="C744" s="18">
        <f t="shared" si="74"/>
        <v>46250</v>
      </c>
      <c r="D744" s="18" t="str">
        <f t="shared" si="75"/>
        <v>16/08/2026 a 22/08/2026</v>
      </c>
      <c r="E744" s="16">
        <f t="shared" si="76"/>
        <v>3542</v>
      </c>
      <c r="F744" s="16">
        <f ca="1" t="shared" si="73"/>
        <v>0</v>
      </c>
      <c r="G744" s="16">
        <f ca="1" t="shared" si="72"/>
        <v>0</v>
      </c>
    </row>
    <row r="745" spans="2:7">
      <c r="B745" s="17" t="str">
        <f t="shared" si="71"/>
        <v>8/2026</v>
      </c>
      <c r="C745" s="18">
        <f t="shared" si="74"/>
        <v>46257</v>
      </c>
      <c r="D745" s="18" t="str">
        <f t="shared" si="75"/>
        <v>23/08/2026 a 29/08/2026</v>
      </c>
      <c r="E745" s="16">
        <f>E740+24</f>
        <v>3558</v>
      </c>
      <c r="F745" s="16">
        <f ca="1" t="shared" si="73"/>
        <v>0</v>
      </c>
      <c r="G745" s="16">
        <f ca="1" t="shared" si="72"/>
        <v>0</v>
      </c>
    </row>
    <row r="746" spans="2:7">
      <c r="B746" s="17" t="str">
        <f t="shared" si="71"/>
        <v>8/2026</v>
      </c>
      <c r="C746" s="18">
        <f t="shared" si="74"/>
        <v>46257</v>
      </c>
      <c r="D746" s="18" t="str">
        <f t="shared" si="75"/>
        <v>23/08/2026 a 29/08/2026</v>
      </c>
      <c r="E746" s="16">
        <f t="shared" si="76"/>
        <v>3560</v>
      </c>
      <c r="F746" s="16">
        <f ca="1" t="shared" si="73"/>
        <v>0</v>
      </c>
      <c r="G746" s="16">
        <f ca="1" t="shared" si="72"/>
        <v>0</v>
      </c>
    </row>
    <row r="747" spans="2:7">
      <c r="B747" s="17" t="str">
        <f t="shared" si="71"/>
        <v>8/2026</v>
      </c>
      <c r="C747" s="18">
        <f t="shared" si="74"/>
        <v>46257</v>
      </c>
      <c r="D747" s="18" t="str">
        <f t="shared" si="75"/>
        <v>23/08/2026 a 29/08/2026</v>
      </c>
      <c r="E747" s="16">
        <f t="shared" si="76"/>
        <v>3562</v>
      </c>
      <c r="F747" s="16">
        <f ca="1" t="shared" si="73"/>
        <v>0</v>
      </c>
      <c r="G747" s="16">
        <f ca="1" t="shared" si="72"/>
        <v>0</v>
      </c>
    </row>
    <row r="748" spans="2:7">
      <c r="B748" s="17" t="str">
        <f t="shared" si="71"/>
        <v>8/2026</v>
      </c>
      <c r="C748" s="18">
        <f t="shared" si="74"/>
        <v>46257</v>
      </c>
      <c r="D748" s="18" t="str">
        <f t="shared" si="75"/>
        <v>23/08/2026 a 29/08/2026</v>
      </c>
      <c r="E748" s="16">
        <f t="shared" si="76"/>
        <v>3564</v>
      </c>
      <c r="F748" s="16">
        <f ca="1" t="shared" si="73"/>
        <v>0</v>
      </c>
      <c r="G748" s="16">
        <f ca="1" t="shared" si="72"/>
        <v>0</v>
      </c>
    </row>
    <row r="749" spans="2:7">
      <c r="B749" s="17" t="str">
        <f t="shared" si="71"/>
        <v>8/2026</v>
      </c>
      <c r="C749" s="18">
        <f t="shared" si="74"/>
        <v>46257</v>
      </c>
      <c r="D749" s="18" t="str">
        <f t="shared" si="75"/>
        <v>23/08/2026 a 29/08/2026</v>
      </c>
      <c r="E749" s="16">
        <f t="shared" si="76"/>
        <v>3566</v>
      </c>
      <c r="F749" s="16">
        <f ca="1" t="shared" si="73"/>
        <v>0</v>
      </c>
      <c r="G749" s="16">
        <f ca="1" t="shared" si="72"/>
        <v>0</v>
      </c>
    </row>
    <row r="750" spans="2:7">
      <c r="B750" s="17" t="str">
        <f t="shared" si="71"/>
        <v>8/2026</v>
      </c>
      <c r="C750" s="18">
        <f t="shared" si="74"/>
        <v>46264</v>
      </c>
      <c r="D750" s="18" t="str">
        <f t="shared" si="75"/>
        <v>30/08/2026 a 05/09/2026</v>
      </c>
      <c r="E750" s="16">
        <f>E745+24</f>
        <v>3582</v>
      </c>
      <c r="F750" s="16">
        <f ca="1" t="shared" si="73"/>
        <v>0</v>
      </c>
      <c r="G750" s="16">
        <f ca="1" t="shared" si="72"/>
        <v>0</v>
      </c>
    </row>
    <row r="751" spans="2:7">
      <c r="B751" s="17" t="str">
        <f t="shared" si="71"/>
        <v>8/2026</v>
      </c>
      <c r="C751" s="18">
        <f t="shared" si="74"/>
        <v>46264</v>
      </c>
      <c r="D751" s="18" t="str">
        <f t="shared" si="75"/>
        <v>30/08/2026 a 05/09/2026</v>
      </c>
      <c r="E751" s="16">
        <f t="shared" si="76"/>
        <v>3584</v>
      </c>
      <c r="F751" s="16">
        <f ca="1" t="shared" si="73"/>
        <v>0</v>
      </c>
      <c r="G751" s="16">
        <f ca="1" t="shared" si="72"/>
        <v>0</v>
      </c>
    </row>
    <row r="752" spans="2:7">
      <c r="B752" s="17" t="str">
        <f t="shared" si="71"/>
        <v>8/2026</v>
      </c>
      <c r="C752" s="18">
        <f t="shared" si="74"/>
        <v>46264</v>
      </c>
      <c r="D752" s="18" t="str">
        <f t="shared" si="75"/>
        <v>30/08/2026 a 05/09/2026</v>
      </c>
      <c r="E752" s="16">
        <f t="shared" si="76"/>
        <v>3586</v>
      </c>
      <c r="F752" s="16">
        <f ca="1" t="shared" si="73"/>
        <v>0</v>
      </c>
      <c r="G752" s="16">
        <f ca="1" t="shared" si="72"/>
        <v>0</v>
      </c>
    </row>
    <row r="753" spans="2:7">
      <c r="B753" s="17" t="str">
        <f t="shared" si="71"/>
        <v>8/2026</v>
      </c>
      <c r="C753" s="18">
        <f t="shared" si="74"/>
        <v>46264</v>
      </c>
      <c r="D753" s="18" t="str">
        <f t="shared" si="75"/>
        <v>30/08/2026 a 05/09/2026</v>
      </c>
      <c r="E753" s="16">
        <f t="shared" si="76"/>
        <v>3588</v>
      </c>
      <c r="F753" s="16">
        <f ca="1" t="shared" si="73"/>
        <v>0</v>
      </c>
      <c r="G753" s="16">
        <f ca="1" t="shared" si="72"/>
        <v>0</v>
      </c>
    </row>
    <row r="754" spans="2:7">
      <c r="B754" s="17" t="str">
        <f t="shared" si="71"/>
        <v>8/2026</v>
      </c>
      <c r="C754" s="18">
        <f t="shared" si="74"/>
        <v>46264</v>
      </c>
      <c r="D754" s="18" t="str">
        <f t="shared" si="75"/>
        <v>30/08/2026 a 05/09/2026</v>
      </c>
      <c r="E754" s="16">
        <f t="shared" si="76"/>
        <v>3590</v>
      </c>
      <c r="F754" s="16">
        <f ca="1" t="shared" si="73"/>
        <v>0</v>
      </c>
      <c r="G754" s="16">
        <f ca="1" t="shared" si="72"/>
        <v>0</v>
      </c>
    </row>
    <row r="755" spans="2:7">
      <c r="B755" s="17" t="str">
        <f t="shared" si="71"/>
        <v>9/2026</v>
      </c>
      <c r="C755" s="18">
        <f t="shared" si="74"/>
        <v>46271</v>
      </c>
      <c r="D755" s="18" t="str">
        <f t="shared" si="75"/>
        <v>06/09/2026 a 12/09/2026</v>
      </c>
      <c r="E755" s="16">
        <f>E750+24</f>
        <v>3606</v>
      </c>
      <c r="F755" s="16">
        <f ca="1" t="shared" si="73"/>
        <v>0</v>
      </c>
      <c r="G755" s="16">
        <f ca="1" t="shared" si="72"/>
        <v>0</v>
      </c>
    </row>
    <row r="756" spans="2:7">
      <c r="B756" s="17" t="str">
        <f t="shared" si="71"/>
        <v>9/2026</v>
      </c>
      <c r="C756" s="18">
        <f t="shared" si="74"/>
        <v>46271</v>
      </c>
      <c r="D756" s="18" t="str">
        <f t="shared" si="75"/>
        <v>06/09/2026 a 12/09/2026</v>
      </c>
      <c r="E756" s="16">
        <f t="shared" si="76"/>
        <v>3608</v>
      </c>
      <c r="F756" s="16">
        <f ca="1" t="shared" si="73"/>
        <v>0</v>
      </c>
      <c r="G756" s="16">
        <f ca="1" t="shared" si="72"/>
        <v>0</v>
      </c>
    </row>
    <row r="757" spans="2:7">
      <c r="B757" s="17" t="str">
        <f t="shared" si="71"/>
        <v>9/2026</v>
      </c>
      <c r="C757" s="18">
        <f t="shared" si="74"/>
        <v>46271</v>
      </c>
      <c r="D757" s="18" t="str">
        <f t="shared" si="75"/>
        <v>06/09/2026 a 12/09/2026</v>
      </c>
      <c r="E757" s="16">
        <f t="shared" si="76"/>
        <v>3610</v>
      </c>
      <c r="F757" s="16">
        <f ca="1" t="shared" si="73"/>
        <v>0</v>
      </c>
      <c r="G757" s="16">
        <f ca="1" t="shared" si="72"/>
        <v>0</v>
      </c>
    </row>
    <row r="758" spans="2:7">
      <c r="B758" s="17" t="str">
        <f t="shared" si="71"/>
        <v>9/2026</v>
      </c>
      <c r="C758" s="18">
        <f t="shared" si="74"/>
        <v>46271</v>
      </c>
      <c r="D758" s="18" t="str">
        <f t="shared" si="75"/>
        <v>06/09/2026 a 12/09/2026</v>
      </c>
      <c r="E758" s="16">
        <f t="shared" si="76"/>
        <v>3612</v>
      </c>
      <c r="F758" s="16">
        <f ca="1" t="shared" si="73"/>
        <v>0</v>
      </c>
      <c r="G758" s="16">
        <f ca="1" t="shared" si="72"/>
        <v>0</v>
      </c>
    </row>
    <row r="759" spans="2:7">
      <c r="B759" s="17" t="str">
        <f t="shared" si="71"/>
        <v>9/2026</v>
      </c>
      <c r="C759" s="18">
        <f t="shared" si="74"/>
        <v>46271</v>
      </c>
      <c r="D759" s="18" t="str">
        <f t="shared" si="75"/>
        <v>06/09/2026 a 12/09/2026</v>
      </c>
      <c r="E759" s="16">
        <f t="shared" si="76"/>
        <v>3614</v>
      </c>
      <c r="F759" s="16">
        <f ca="1" t="shared" si="73"/>
        <v>0</v>
      </c>
      <c r="G759" s="16">
        <f ca="1" t="shared" si="72"/>
        <v>0</v>
      </c>
    </row>
    <row r="760" spans="2:7">
      <c r="B760" s="17" t="str">
        <f t="shared" si="71"/>
        <v>9/2026</v>
      </c>
      <c r="C760" s="18">
        <f t="shared" si="74"/>
        <v>46278</v>
      </c>
      <c r="D760" s="18" t="str">
        <f t="shared" si="75"/>
        <v>13/09/2026 a 19/09/2026</v>
      </c>
      <c r="E760" s="16">
        <f>E755+24</f>
        <v>3630</v>
      </c>
      <c r="F760" s="16">
        <f ca="1" t="shared" si="73"/>
        <v>0</v>
      </c>
      <c r="G760" s="16">
        <f ca="1" t="shared" si="72"/>
        <v>0</v>
      </c>
    </row>
    <row r="761" spans="2:7">
      <c r="B761" s="17" t="str">
        <f t="shared" ref="B761:B824" si="77">MONTH(C761)&amp;"/"&amp;YEAR(C761)</f>
        <v>9/2026</v>
      </c>
      <c r="C761" s="18">
        <f t="shared" si="74"/>
        <v>46278</v>
      </c>
      <c r="D761" s="18" t="str">
        <f t="shared" si="75"/>
        <v>13/09/2026 a 19/09/2026</v>
      </c>
      <c r="E761" s="16">
        <f t="shared" si="76"/>
        <v>3632</v>
      </c>
      <c r="F761" s="16">
        <f ca="1" t="shared" si="73"/>
        <v>0</v>
      </c>
      <c r="G761" s="16">
        <f ca="1" t="shared" ref="G761:G824" si="78">INDIRECT("'Diário'!J"&amp;E761)</f>
        <v>0</v>
      </c>
    </row>
    <row r="762" spans="2:7">
      <c r="B762" s="17" t="str">
        <f t="shared" si="77"/>
        <v>9/2026</v>
      </c>
      <c r="C762" s="18">
        <f t="shared" si="74"/>
        <v>46278</v>
      </c>
      <c r="D762" s="18" t="str">
        <f t="shared" si="75"/>
        <v>13/09/2026 a 19/09/2026</v>
      </c>
      <c r="E762" s="16">
        <f t="shared" si="76"/>
        <v>3634</v>
      </c>
      <c r="F762" s="16">
        <f ca="1" t="shared" si="73"/>
        <v>0</v>
      </c>
      <c r="G762" s="16">
        <f ca="1" t="shared" si="78"/>
        <v>0</v>
      </c>
    </row>
    <row r="763" spans="2:7">
      <c r="B763" s="17" t="str">
        <f t="shared" si="77"/>
        <v>9/2026</v>
      </c>
      <c r="C763" s="18">
        <f t="shared" si="74"/>
        <v>46278</v>
      </c>
      <c r="D763" s="18" t="str">
        <f t="shared" si="75"/>
        <v>13/09/2026 a 19/09/2026</v>
      </c>
      <c r="E763" s="16">
        <f t="shared" si="76"/>
        <v>3636</v>
      </c>
      <c r="F763" s="16">
        <f ca="1" t="shared" si="73"/>
        <v>0</v>
      </c>
      <c r="G763" s="16">
        <f ca="1" t="shared" si="78"/>
        <v>0</v>
      </c>
    </row>
    <row r="764" spans="2:7">
      <c r="B764" s="17" t="str">
        <f t="shared" si="77"/>
        <v>9/2026</v>
      </c>
      <c r="C764" s="18">
        <f t="shared" si="74"/>
        <v>46278</v>
      </c>
      <c r="D764" s="18" t="str">
        <f t="shared" si="75"/>
        <v>13/09/2026 a 19/09/2026</v>
      </c>
      <c r="E764" s="16">
        <f t="shared" si="76"/>
        <v>3638</v>
      </c>
      <c r="F764" s="16">
        <f ca="1" t="shared" si="73"/>
        <v>0</v>
      </c>
      <c r="G764" s="16">
        <f ca="1" t="shared" si="78"/>
        <v>0</v>
      </c>
    </row>
    <row r="765" spans="2:7">
      <c r="B765" s="17" t="str">
        <f t="shared" si="77"/>
        <v>9/2026</v>
      </c>
      <c r="C765" s="18">
        <f t="shared" si="74"/>
        <v>46285</v>
      </c>
      <c r="D765" s="18" t="str">
        <f t="shared" si="75"/>
        <v>20/09/2026 a 26/09/2026</v>
      </c>
      <c r="E765" s="16">
        <f>E760+24</f>
        <v>3654</v>
      </c>
      <c r="F765" s="16">
        <f ca="1" t="shared" si="73"/>
        <v>0</v>
      </c>
      <c r="G765" s="16">
        <f ca="1" t="shared" si="78"/>
        <v>0</v>
      </c>
    </row>
    <row r="766" spans="2:7">
      <c r="B766" s="17" t="str">
        <f t="shared" si="77"/>
        <v>9/2026</v>
      </c>
      <c r="C766" s="18">
        <f t="shared" si="74"/>
        <v>46285</v>
      </c>
      <c r="D766" s="18" t="str">
        <f t="shared" si="75"/>
        <v>20/09/2026 a 26/09/2026</v>
      </c>
      <c r="E766" s="16">
        <f t="shared" si="76"/>
        <v>3656</v>
      </c>
      <c r="F766" s="16">
        <f ca="1" t="shared" ref="F766:F829" si="79">INDIRECT("Diário!I"&amp;E766)</f>
        <v>0</v>
      </c>
      <c r="G766" s="16">
        <f ca="1" t="shared" si="78"/>
        <v>0</v>
      </c>
    </row>
    <row r="767" spans="2:7">
      <c r="B767" s="17" t="str">
        <f t="shared" si="77"/>
        <v>9/2026</v>
      </c>
      <c r="C767" s="18">
        <f t="shared" si="74"/>
        <v>46285</v>
      </c>
      <c r="D767" s="18" t="str">
        <f t="shared" si="75"/>
        <v>20/09/2026 a 26/09/2026</v>
      </c>
      <c r="E767" s="16">
        <f t="shared" si="76"/>
        <v>3658</v>
      </c>
      <c r="F767" s="16">
        <f ca="1" t="shared" si="79"/>
        <v>0</v>
      </c>
      <c r="G767" s="16">
        <f ca="1" t="shared" si="78"/>
        <v>0</v>
      </c>
    </row>
    <row r="768" spans="2:7">
      <c r="B768" s="17" t="str">
        <f t="shared" si="77"/>
        <v>9/2026</v>
      </c>
      <c r="C768" s="18">
        <f t="shared" si="74"/>
        <v>46285</v>
      </c>
      <c r="D768" s="18" t="str">
        <f t="shared" si="75"/>
        <v>20/09/2026 a 26/09/2026</v>
      </c>
      <c r="E768" s="16">
        <f t="shared" si="76"/>
        <v>3660</v>
      </c>
      <c r="F768" s="16">
        <f ca="1" t="shared" si="79"/>
        <v>0</v>
      </c>
      <c r="G768" s="16">
        <f ca="1" t="shared" si="78"/>
        <v>0</v>
      </c>
    </row>
    <row r="769" spans="2:7">
      <c r="B769" s="17" t="str">
        <f t="shared" si="77"/>
        <v>9/2026</v>
      </c>
      <c r="C769" s="18">
        <f t="shared" si="74"/>
        <v>46285</v>
      </c>
      <c r="D769" s="18" t="str">
        <f t="shared" si="75"/>
        <v>20/09/2026 a 26/09/2026</v>
      </c>
      <c r="E769" s="16">
        <f t="shared" si="76"/>
        <v>3662</v>
      </c>
      <c r="F769" s="16">
        <f ca="1" t="shared" si="79"/>
        <v>0</v>
      </c>
      <c r="G769" s="16">
        <f ca="1" t="shared" si="78"/>
        <v>0</v>
      </c>
    </row>
    <row r="770" spans="2:7">
      <c r="B770" s="17" t="str">
        <f t="shared" si="77"/>
        <v>9/2026</v>
      </c>
      <c r="C770" s="18">
        <f t="shared" si="74"/>
        <v>46292</v>
      </c>
      <c r="D770" s="18" t="str">
        <f t="shared" si="75"/>
        <v>27/09/2026 a 03/10/2026</v>
      </c>
      <c r="E770" s="16">
        <f>E765+24</f>
        <v>3678</v>
      </c>
      <c r="F770" s="16">
        <f ca="1" t="shared" si="79"/>
        <v>0</v>
      </c>
      <c r="G770" s="16">
        <f ca="1" t="shared" si="78"/>
        <v>0</v>
      </c>
    </row>
    <row r="771" spans="2:7">
      <c r="B771" s="17" t="str">
        <f t="shared" si="77"/>
        <v>9/2026</v>
      </c>
      <c r="C771" s="18">
        <f t="shared" si="74"/>
        <v>46292</v>
      </c>
      <c r="D771" s="18" t="str">
        <f t="shared" si="75"/>
        <v>27/09/2026 a 03/10/2026</v>
      </c>
      <c r="E771" s="16">
        <f t="shared" si="76"/>
        <v>3680</v>
      </c>
      <c r="F771" s="16">
        <f ca="1" t="shared" si="79"/>
        <v>0</v>
      </c>
      <c r="G771" s="16">
        <f ca="1" t="shared" si="78"/>
        <v>0</v>
      </c>
    </row>
    <row r="772" spans="2:7">
      <c r="B772" s="17" t="str">
        <f t="shared" si="77"/>
        <v>9/2026</v>
      </c>
      <c r="C772" s="18">
        <f t="shared" si="74"/>
        <v>46292</v>
      </c>
      <c r="D772" s="18" t="str">
        <f t="shared" si="75"/>
        <v>27/09/2026 a 03/10/2026</v>
      </c>
      <c r="E772" s="16">
        <f t="shared" si="76"/>
        <v>3682</v>
      </c>
      <c r="F772" s="16">
        <f ca="1" t="shared" si="79"/>
        <v>0</v>
      </c>
      <c r="G772" s="16">
        <f ca="1" t="shared" si="78"/>
        <v>0</v>
      </c>
    </row>
    <row r="773" spans="2:7">
      <c r="B773" s="17" t="str">
        <f t="shared" si="77"/>
        <v>9/2026</v>
      </c>
      <c r="C773" s="18">
        <f t="shared" si="74"/>
        <v>46292</v>
      </c>
      <c r="D773" s="18" t="str">
        <f t="shared" si="75"/>
        <v>27/09/2026 a 03/10/2026</v>
      </c>
      <c r="E773" s="16">
        <f t="shared" si="76"/>
        <v>3684</v>
      </c>
      <c r="F773" s="16">
        <f ca="1" t="shared" si="79"/>
        <v>0</v>
      </c>
      <c r="G773" s="16">
        <f ca="1" t="shared" si="78"/>
        <v>0</v>
      </c>
    </row>
    <row r="774" spans="2:7">
      <c r="B774" s="17" t="str">
        <f t="shared" si="77"/>
        <v>9/2026</v>
      </c>
      <c r="C774" s="18">
        <f t="shared" si="74"/>
        <v>46292</v>
      </c>
      <c r="D774" s="18" t="str">
        <f t="shared" si="75"/>
        <v>27/09/2026 a 03/10/2026</v>
      </c>
      <c r="E774" s="16">
        <f t="shared" si="76"/>
        <v>3686</v>
      </c>
      <c r="F774" s="16">
        <f ca="1" t="shared" si="79"/>
        <v>0</v>
      </c>
      <c r="G774" s="16">
        <f ca="1" t="shared" si="78"/>
        <v>0</v>
      </c>
    </row>
    <row r="775" spans="2:7">
      <c r="B775" s="17" t="str">
        <f t="shared" si="77"/>
        <v>10/2026</v>
      </c>
      <c r="C775" s="18">
        <f t="shared" si="74"/>
        <v>46299</v>
      </c>
      <c r="D775" s="18" t="str">
        <f t="shared" si="75"/>
        <v>04/10/2026 a 10/10/2026</v>
      </c>
      <c r="E775" s="16">
        <f>E770+24</f>
        <v>3702</v>
      </c>
      <c r="F775" s="16">
        <f ca="1" t="shared" si="79"/>
        <v>0</v>
      </c>
      <c r="G775" s="16">
        <f ca="1" t="shared" si="78"/>
        <v>0</v>
      </c>
    </row>
    <row r="776" spans="2:7">
      <c r="B776" s="17" t="str">
        <f t="shared" si="77"/>
        <v>10/2026</v>
      </c>
      <c r="C776" s="18">
        <f t="shared" si="74"/>
        <v>46299</v>
      </c>
      <c r="D776" s="18" t="str">
        <f t="shared" si="75"/>
        <v>04/10/2026 a 10/10/2026</v>
      </c>
      <c r="E776" s="16">
        <f t="shared" si="76"/>
        <v>3704</v>
      </c>
      <c r="F776" s="16">
        <f ca="1" t="shared" si="79"/>
        <v>0</v>
      </c>
      <c r="G776" s="16">
        <f ca="1" t="shared" si="78"/>
        <v>0</v>
      </c>
    </row>
    <row r="777" spans="2:7">
      <c r="B777" s="17" t="str">
        <f t="shared" si="77"/>
        <v>10/2026</v>
      </c>
      <c r="C777" s="18">
        <f t="shared" si="74"/>
        <v>46299</v>
      </c>
      <c r="D777" s="18" t="str">
        <f t="shared" si="75"/>
        <v>04/10/2026 a 10/10/2026</v>
      </c>
      <c r="E777" s="16">
        <f t="shared" si="76"/>
        <v>3706</v>
      </c>
      <c r="F777" s="16">
        <f ca="1" t="shared" si="79"/>
        <v>0</v>
      </c>
      <c r="G777" s="16">
        <f ca="1" t="shared" si="78"/>
        <v>0</v>
      </c>
    </row>
    <row r="778" spans="2:7">
      <c r="B778" s="17" t="str">
        <f t="shared" si="77"/>
        <v>10/2026</v>
      </c>
      <c r="C778" s="18">
        <f t="shared" si="74"/>
        <v>46299</v>
      </c>
      <c r="D778" s="18" t="str">
        <f t="shared" si="75"/>
        <v>04/10/2026 a 10/10/2026</v>
      </c>
      <c r="E778" s="16">
        <f t="shared" si="76"/>
        <v>3708</v>
      </c>
      <c r="F778" s="16">
        <f ca="1" t="shared" si="79"/>
        <v>0</v>
      </c>
      <c r="G778" s="16">
        <f ca="1" t="shared" si="78"/>
        <v>0</v>
      </c>
    </row>
    <row r="779" spans="2:7">
      <c r="B779" s="17" t="str">
        <f t="shared" si="77"/>
        <v>10/2026</v>
      </c>
      <c r="C779" s="18">
        <f t="shared" si="74"/>
        <v>46299</v>
      </c>
      <c r="D779" s="18" t="str">
        <f t="shared" si="75"/>
        <v>04/10/2026 a 10/10/2026</v>
      </c>
      <c r="E779" s="16">
        <f t="shared" si="76"/>
        <v>3710</v>
      </c>
      <c r="F779" s="16">
        <f ca="1" t="shared" si="79"/>
        <v>0</v>
      </c>
      <c r="G779" s="16">
        <f ca="1" t="shared" si="78"/>
        <v>0</v>
      </c>
    </row>
    <row r="780" spans="2:7">
      <c r="B780" s="17" t="str">
        <f t="shared" si="77"/>
        <v>10/2026</v>
      </c>
      <c r="C780" s="18">
        <f t="shared" si="74"/>
        <v>46306</v>
      </c>
      <c r="D780" s="18" t="str">
        <f t="shared" si="75"/>
        <v>11/10/2026 a 17/10/2026</v>
      </c>
      <c r="E780" s="16">
        <f>E775+24</f>
        <v>3726</v>
      </c>
      <c r="F780" s="16">
        <f ca="1" t="shared" si="79"/>
        <v>0</v>
      </c>
      <c r="G780" s="16">
        <f ca="1" t="shared" si="78"/>
        <v>0</v>
      </c>
    </row>
    <row r="781" spans="2:7">
      <c r="B781" s="17" t="str">
        <f t="shared" si="77"/>
        <v>10/2026</v>
      </c>
      <c r="C781" s="18">
        <f t="shared" si="74"/>
        <v>46306</v>
      </c>
      <c r="D781" s="18" t="str">
        <f t="shared" si="75"/>
        <v>11/10/2026 a 17/10/2026</v>
      </c>
      <c r="E781" s="16">
        <f t="shared" si="76"/>
        <v>3728</v>
      </c>
      <c r="F781" s="16">
        <f ca="1" t="shared" si="79"/>
        <v>0</v>
      </c>
      <c r="G781" s="16">
        <f ca="1" t="shared" si="78"/>
        <v>0</v>
      </c>
    </row>
    <row r="782" spans="2:7">
      <c r="B782" s="17" t="str">
        <f t="shared" si="77"/>
        <v>10/2026</v>
      </c>
      <c r="C782" s="18">
        <f t="shared" si="74"/>
        <v>46306</v>
      </c>
      <c r="D782" s="18" t="str">
        <f t="shared" si="75"/>
        <v>11/10/2026 a 17/10/2026</v>
      </c>
      <c r="E782" s="16">
        <f t="shared" si="76"/>
        <v>3730</v>
      </c>
      <c r="F782" s="16">
        <f ca="1" t="shared" si="79"/>
        <v>0</v>
      </c>
      <c r="G782" s="16">
        <f ca="1" t="shared" si="78"/>
        <v>0</v>
      </c>
    </row>
    <row r="783" spans="2:7">
      <c r="B783" s="17" t="str">
        <f t="shared" si="77"/>
        <v>10/2026</v>
      </c>
      <c r="C783" s="18">
        <f t="shared" si="74"/>
        <v>46306</v>
      </c>
      <c r="D783" s="18" t="str">
        <f t="shared" si="75"/>
        <v>11/10/2026 a 17/10/2026</v>
      </c>
      <c r="E783" s="16">
        <f t="shared" si="76"/>
        <v>3732</v>
      </c>
      <c r="F783" s="16">
        <f ca="1" t="shared" si="79"/>
        <v>0</v>
      </c>
      <c r="G783" s="16">
        <f ca="1" t="shared" si="78"/>
        <v>0</v>
      </c>
    </row>
    <row r="784" spans="2:7">
      <c r="B784" s="17" t="str">
        <f t="shared" si="77"/>
        <v>10/2026</v>
      </c>
      <c r="C784" s="18">
        <f t="shared" si="74"/>
        <v>46306</v>
      </c>
      <c r="D784" s="18" t="str">
        <f t="shared" si="75"/>
        <v>11/10/2026 a 17/10/2026</v>
      </c>
      <c r="E784" s="16">
        <f t="shared" si="76"/>
        <v>3734</v>
      </c>
      <c r="F784" s="16">
        <f ca="1" t="shared" si="79"/>
        <v>0</v>
      </c>
      <c r="G784" s="16">
        <f ca="1" t="shared" si="78"/>
        <v>0</v>
      </c>
    </row>
    <row r="785" spans="2:7">
      <c r="B785" s="17" t="str">
        <f t="shared" si="77"/>
        <v>10/2026</v>
      </c>
      <c r="C785" s="18">
        <f t="shared" si="74"/>
        <v>46313</v>
      </c>
      <c r="D785" s="18" t="str">
        <f t="shared" si="75"/>
        <v>18/10/2026 a 24/10/2026</v>
      </c>
      <c r="E785" s="16">
        <f>E780+24</f>
        <v>3750</v>
      </c>
      <c r="F785" s="16">
        <f ca="1" t="shared" si="79"/>
        <v>0</v>
      </c>
      <c r="G785" s="16">
        <f ca="1" t="shared" si="78"/>
        <v>0</v>
      </c>
    </row>
    <row r="786" spans="2:7">
      <c r="B786" s="17" t="str">
        <f t="shared" si="77"/>
        <v>10/2026</v>
      </c>
      <c r="C786" s="18">
        <f t="shared" ref="C786:C849" si="80">C781+7</f>
        <v>46313</v>
      </c>
      <c r="D786" s="18" t="str">
        <f t="shared" si="75"/>
        <v>18/10/2026 a 24/10/2026</v>
      </c>
      <c r="E786" s="16">
        <f t="shared" si="76"/>
        <v>3752</v>
      </c>
      <c r="F786" s="16">
        <f ca="1" t="shared" si="79"/>
        <v>0</v>
      </c>
      <c r="G786" s="16">
        <f ca="1" t="shared" si="78"/>
        <v>0</v>
      </c>
    </row>
    <row r="787" spans="2:7">
      <c r="B787" s="17" t="str">
        <f t="shared" si="77"/>
        <v>10/2026</v>
      </c>
      <c r="C787" s="18">
        <f t="shared" si="80"/>
        <v>46313</v>
      </c>
      <c r="D787" s="18" t="str">
        <f t="shared" ref="D787:D850" si="81">TEXT((C787),"DD/MM/AAAA")&amp;" a "&amp;TEXT((C787+6),"DD/MM/AAAA")</f>
        <v>18/10/2026 a 24/10/2026</v>
      </c>
      <c r="E787" s="16">
        <f t="shared" si="76"/>
        <v>3754</v>
      </c>
      <c r="F787" s="16">
        <f ca="1" t="shared" si="79"/>
        <v>0</v>
      </c>
      <c r="G787" s="16">
        <f ca="1" t="shared" si="78"/>
        <v>0</v>
      </c>
    </row>
    <row r="788" spans="2:7">
      <c r="B788" s="17" t="str">
        <f t="shared" si="77"/>
        <v>10/2026</v>
      </c>
      <c r="C788" s="18">
        <f t="shared" si="80"/>
        <v>46313</v>
      </c>
      <c r="D788" s="18" t="str">
        <f t="shared" si="81"/>
        <v>18/10/2026 a 24/10/2026</v>
      </c>
      <c r="E788" s="16">
        <f t="shared" si="76"/>
        <v>3756</v>
      </c>
      <c r="F788" s="16">
        <f ca="1" t="shared" si="79"/>
        <v>0</v>
      </c>
      <c r="G788" s="16">
        <f ca="1" t="shared" si="78"/>
        <v>0</v>
      </c>
    </row>
    <row r="789" spans="2:7">
      <c r="B789" s="17" t="str">
        <f t="shared" si="77"/>
        <v>10/2026</v>
      </c>
      <c r="C789" s="18">
        <f t="shared" si="80"/>
        <v>46313</v>
      </c>
      <c r="D789" s="18" t="str">
        <f t="shared" si="81"/>
        <v>18/10/2026 a 24/10/2026</v>
      </c>
      <c r="E789" s="16">
        <f t="shared" si="76"/>
        <v>3758</v>
      </c>
      <c r="F789" s="16">
        <f ca="1" t="shared" si="79"/>
        <v>0</v>
      </c>
      <c r="G789" s="16">
        <f ca="1" t="shared" si="78"/>
        <v>0</v>
      </c>
    </row>
    <row r="790" spans="2:7">
      <c r="B790" s="17" t="str">
        <f t="shared" si="77"/>
        <v>10/2026</v>
      </c>
      <c r="C790" s="18">
        <f t="shared" si="80"/>
        <v>46320</v>
      </c>
      <c r="D790" s="18" t="str">
        <f t="shared" si="81"/>
        <v>25/10/2026 a 31/10/2026</v>
      </c>
      <c r="E790" s="16">
        <f>E785+24</f>
        <v>3774</v>
      </c>
      <c r="F790" s="16">
        <f ca="1" t="shared" si="79"/>
        <v>0</v>
      </c>
      <c r="G790" s="16">
        <f ca="1" t="shared" si="78"/>
        <v>0</v>
      </c>
    </row>
    <row r="791" spans="2:7">
      <c r="B791" s="17" t="str">
        <f t="shared" si="77"/>
        <v>10/2026</v>
      </c>
      <c r="C791" s="18">
        <f t="shared" si="80"/>
        <v>46320</v>
      </c>
      <c r="D791" s="18" t="str">
        <f t="shared" si="81"/>
        <v>25/10/2026 a 31/10/2026</v>
      </c>
      <c r="E791" s="16">
        <f t="shared" si="76"/>
        <v>3776</v>
      </c>
      <c r="F791" s="16">
        <f ca="1" t="shared" si="79"/>
        <v>0</v>
      </c>
      <c r="G791" s="16">
        <f ca="1" t="shared" si="78"/>
        <v>0</v>
      </c>
    </row>
    <row r="792" spans="2:7">
      <c r="B792" s="17" t="str">
        <f t="shared" si="77"/>
        <v>10/2026</v>
      </c>
      <c r="C792" s="18">
        <f t="shared" si="80"/>
        <v>46320</v>
      </c>
      <c r="D792" s="18" t="str">
        <f t="shared" si="81"/>
        <v>25/10/2026 a 31/10/2026</v>
      </c>
      <c r="E792" s="16">
        <f t="shared" si="76"/>
        <v>3778</v>
      </c>
      <c r="F792" s="16">
        <f ca="1" t="shared" si="79"/>
        <v>0</v>
      </c>
      <c r="G792" s="16">
        <f ca="1" t="shared" si="78"/>
        <v>0</v>
      </c>
    </row>
    <row r="793" spans="2:7">
      <c r="B793" s="17" t="str">
        <f t="shared" si="77"/>
        <v>10/2026</v>
      </c>
      <c r="C793" s="18">
        <f t="shared" si="80"/>
        <v>46320</v>
      </c>
      <c r="D793" s="18" t="str">
        <f t="shared" si="81"/>
        <v>25/10/2026 a 31/10/2026</v>
      </c>
      <c r="E793" s="16">
        <f t="shared" si="76"/>
        <v>3780</v>
      </c>
      <c r="F793" s="16">
        <f ca="1" t="shared" si="79"/>
        <v>0</v>
      </c>
      <c r="G793" s="16">
        <f ca="1" t="shared" si="78"/>
        <v>0</v>
      </c>
    </row>
    <row r="794" spans="2:7">
      <c r="B794" s="17" t="str">
        <f t="shared" si="77"/>
        <v>10/2026</v>
      </c>
      <c r="C794" s="18">
        <f t="shared" si="80"/>
        <v>46320</v>
      </c>
      <c r="D794" s="18" t="str">
        <f t="shared" si="81"/>
        <v>25/10/2026 a 31/10/2026</v>
      </c>
      <c r="E794" s="16">
        <f t="shared" si="76"/>
        <v>3782</v>
      </c>
      <c r="F794" s="16">
        <f ca="1" t="shared" si="79"/>
        <v>0</v>
      </c>
      <c r="G794" s="16">
        <f ca="1" t="shared" si="78"/>
        <v>0</v>
      </c>
    </row>
    <row r="795" spans="2:7">
      <c r="B795" s="17" t="str">
        <f t="shared" si="77"/>
        <v>11/2026</v>
      </c>
      <c r="C795" s="18">
        <f t="shared" si="80"/>
        <v>46327</v>
      </c>
      <c r="D795" s="18" t="str">
        <f t="shared" si="81"/>
        <v>01/11/2026 a 07/11/2026</v>
      </c>
      <c r="E795" s="16">
        <f>E790+24</f>
        <v>3798</v>
      </c>
      <c r="F795" s="16">
        <f ca="1" t="shared" si="79"/>
        <v>0</v>
      </c>
      <c r="G795" s="16">
        <f ca="1" t="shared" si="78"/>
        <v>0</v>
      </c>
    </row>
    <row r="796" spans="2:7">
      <c r="B796" s="17" t="str">
        <f t="shared" si="77"/>
        <v>11/2026</v>
      </c>
      <c r="C796" s="18">
        <f t="shared" si="80"/>
        <v>46327</v>
      </c>
      <c r="D796" s="18" t="str">
        <f t="shared" si="81"/>
        <v>01/11/2026 a 07/11/2026</v>
      </c>
      <c r="E796" s="16">
        <f t="shared" si="76"/>
        <v>3800</v>
      </c>
      <c r="F796" s="16">
        <f ca="1" t="shared" si="79"/>
        <v>0</v>
      </c>
      <c r="G796" s="16">
        <f ca="1" t="shared" si="78"/>
        <v>0</v>
      </c>
    </row>
    <row r="797" spans="2:7">
      <c r="B797" s="17" t="str">
        <f t="shared" si="77"/>
        <v>11/2026</v>
      </c>
      <c r="C797" s="18">
        <f t="shared" si="80"/>
        <v>46327</v>
      </c>
      <c r="D797" s="18" t="str">
        <f t="shared" si="81"/>
        <v>01/11/2026 a 07/11/2026</v>
      </c>
      <c r="E797" s="16">
        <f t="shared" si="76"/>
        <v>3802</v>
      </c>
      <c r="F797" s="16">
        <f ca="1" t="shared" si="79"/>
        <v>0</v>
      </c>
      <c r="G797" s="16">
        <f ca="1" t="shared" si="78"/>
        <v>0</v>
      </c>
    </row>
    <row r="798" spans="2:7">
      <c r="B798" s="17" t="str">
        <f t="shared" si="77"/>
        <v>11/2026</v>
      </c>
      <c r="C798" s="18">
        <f t="shared" si="80"/>
        <v>46327</v>
      </c>
      <c r="D798" s="18" t="str">
        <f t="shared" si="81"/>
        <v>01/11/2026 a 07/11/2026</v>
      </c>
      <c r="E798" s="16">
        <f t="shared" si="76"/>
        <v>3804</v>
      </c>
      <c r="F798" s="16">
        <f ca="1" t="shared" si="79"/>
        <v>0</v>
      </c>
      <c r="G798" s="16">
        <f ca="1" t="shared" si="78"/>
        <v>0</v>
      </c>
    </row>
    <row r="799" spans="2:7">
      <c r="B799" s="17" t="str">
        <f t="shared" si="77"/>
        <v>11/2026</v>
      </c>
      <c r="C799" s="18">
        <f t="shared" si="80"/>
        <v>46327</v>
      </c>
      <c r="D799" s="18" t="str">
        <f t="shared" si="81"/>
        <v>01/11/2026 a 07/11/2026</v>
      </c>
      <c r="E799" s="16">
        <f t="shared" si="76"/>
        <v>3806</v>
      </c>
      <c r="F799" s="16">
        <f ca="1" t="shared" si="79"/>
        <v>0</v>
      </c>
      <c r="G799" s="16">
        <f ca="1" t="shared" si="78"/>
        <v>0</v>
      </c>
    </row>
    <row r="800" spans="2:7">
      <c r="B800" s="17" t="str">
        <f t="shared" si="77"/>
        <v>11/2026</v>
      </c>
      <c r="C800" s="18">
        <f t="shared" si="80"/>
        <v>46334</v>
      </c>
      <c r="D800" s="18" t="str">
        <f t="shared" si="81"/>
        <v>08/11/2026 a 14/11/2026</v>
      </c>
      <c r="E800" s="16">
        <f>E795+24</f>
        <v>3822</v>
      </c>
      <c r="F800" s="16">
        <f ca="1" t="shared" si="79"/>
        <v>0</v>
      </c>
      <c r="G800" s="16">
        <f ca="1" t="shared" si="78"/>
        <v>0</v>
      </c>
    </row>
    <row r="801" spans="2:7">
      <c r="B801" s="17" t="str">
        <f t="shared" si="77"/>
        <v>11/2026</v>
      </c>
      <c r="C801" s="18">
        <f t="shared" si="80"/>
        <v>46334</v>
      </c>
      <c r="D801" s="18" t="str">
        <f t="shared" si="81"/>
        <v>08/11/2026 a 14/11/2026</v>
      </c>
      <c r="E801" s="16">
        <f t="shared" si="76"/>
        <v>3824</v>
      </c>
      <c r="F801" s="16">
        <f ca="1" t="shared" si="79"/>
        <v>0</v>
      </c>
      <c r="G801" s="16">
        <f ca="1" t="shared" si="78"/>
        <v>0</v>
      </c>
    </row>
    <row r="802" spans="2:7">
      <c r="B802" s="17" t="str">
        <f t="shared" si="77"/>
        <v>11/2026</v>
      </c>
      <c r="C802" s="18">
        <f t="shared" si="80"/>
        <v>46334</v>
      </c>
      <c r="D802" s="18" t="str">
        <f t="shared" si="81"/>
        <v>08/11/2026 a 14/11/2026</v>
      </c>
      <c r="E802" s="16">
        <f t="shared" si="76"/>
        <v>3826</v>
      </c>
      <c r="F802" s="16">
        <f ca="1" t="shared" si="79"/>
        <v>0</v>
      </c>
      <c r="G802" s="16">
        <f ca="1" t="shared" si="78"/>
        <v>0</v>
      </c>
    </row>
    <row r="803" spans="2:7">
      <c r="B803" s="17" t="str">
        <f t="shared" si="77"/>
        <v>11/2026</v>
      </c>
      <c r="C803" s="18">
        <f t="shared" si="80"/>
        <v>46334</v>
      </c>
      <c r="D803" s="18" t="str">
        <f t="shared" si="81"/>
        <v>08/11/2026 a 14/11/2026</v>
      </c>
      <c r="E803" s="16">
        <f t="shared" si="76"/>
        <v>3828</v>
      </c>
      <c r="F803" s="16">
        <f ca="1" t="shared" si="79"/>
        <v>0</v>
      </c>
      <c r="G803" s="16">
        <f ca="1" t="shared" si="78"/>
        <v>0</v>
      </c>
    </row>
    <row r="804" spans="2:7">
      <c r="B804" s="17" t="str">
        <f t="shared" si="77"/>
        <v>11/2026</v>
      </c>
      <c r="C804" s="18">
        <f t="shared" si="80"/>
        <v>46334</v>
      </c>
      <c r="D804" s="18" t="str">
        <f t="shared" si="81"/>
        <v>08/11/2026 a 14/11/2026</v>
      </c>
      <c r="E804" s="16">
        <f t="shared" si="76"/>
        <v>3830</v>
      </c>
      <c r="F804" s="16">
        <f ca="1" t="shared" si="79"/>
        <v>0</v>
      </c>
      <c r="G804" s="16">
        <f ca="1" t="shared" si="78"/>
        <v>0</v>
      </c>
    </row>
    <row r="805" spans="2:7">
      <c r="B805" s="17" t="str">
        <f t="shared" si="77"/>
        <v>11/2026</v>
      </c>
      <c r="C805" s="18">
        <f t="shared" si="80"/>
        <v>46341</v>
      </c>
      <c r="D805" s="18" t="str">
        <f t="shared" si="81"/>
        <v>15/11/2026 a 21/11/2026</v>
      </c>
      <c r="E805" s="16">
        <f>E800+24</f>
        <v>3846</v>
      </c>
      <c r="F805" s="16">
        <f ca="1" t="shared" si="79"/>
        <v>0</v>
      </c>
      <c r="G805" s="16">
        <f ca="1" t="shared" si="78"/>
        <v>0</v>
      </c>
    </row>
    <row r="806" spans="2:7">
      <c r="B806" s="17" t="str">
        <f t="shared" si="77"/>
        <v>11/2026</v>
      </c>
      <c r="C806" s="18">
        <f t="shared" si="80"/>
        <v>46341</v>
      </c>
      <c r="D806" s="18" t="str">
        <f t="shared" si="81"/>
        <v>15/11/2026 a 21/11/2026</v>
      </c>
      <c r="E806" s="16">
        <f t="shared" ref="E806:E869" si="82">E805+2</f>
        <v>3848</v>
      </c>
      <c r="F806" s="16">
        <f ca="1" t="shared" si="79"/>
        <v>0</v>
      </c>
      <c r="G806" s="16">
        <f ca="1" t="shared" si="78"/>
        <v>0</v>
      </c>
    </row>
    <row r="807" spans="2:7">
      <c r="B807" s="17" t="str">
        <f t="shared" si="77"/>
        <v>11/2026</v>
      </c>
      <c r="C807" s="18">
        <f t="shared" si="80"/>
        <v>46341</v>
      </c>
      <c r="D807" s="18" t="str">
        <f t="shared" si="81"/>
        <v>15/11/2026 a 21/11/2026</v>
      </c>
      <c r="E807" s="16">
        <f t="shared" si="82"/>
        <v>3850</v>
      </c>
      <c r="F807" s="16">
        <f ca="1" t="shared" si="79"/>
        <v>0</v>
      </c>
      <c r="G807" s="16">
        <f ca="1" t="shared" si="78"/>
        <v>0</v>
      </c>
    </row>
    <row r="808" spans="2:7">
      <c r="B808" s="17" t="str">
        <f t="shared" si="77"/>
        <v>11/2026</v>
      </c>
      <c r="C808" s="18">
        <f t="shared" si="80"/>
        <v>46341</v>
      </c>
      <c r="D808" s="18" t="str">
        <f t="shared" si="81"/>
        <v>15/11/2026 a 21/11/2026</v>
      </c>
      <c r="E808" s="16">
        <f t="shared" si="82"/>
        <v>3852</v>
      </c>
      <c r="F808" s="16">
        <f ca="1" t="shared" si="79"/>
        <v>0</v>
      </c>
      <c r="G808" s="16">
        <f ca="1" t="shared" si="78"/>
        <v>0</v>
      </c>
    </row>
    <row r="809" spans="2:7">
      <c r="B809" s="17" t="str">
        <f t="shared" si="77"/>
        <v>11/2026</v>
      </c>
      <c r="C809" s="18">
        <f t="shared" si="80"/>
        <v>46341</v>
      </c>
      <c r="D809" s="18" t="str">
        <f t="shared" si="81"/>
        <v>15/11/2026 a 21/11/2026</v>
      </c>
      <c r="E809" s="16">
        <f t="shared" si="82"/>
        <v>3854</v>
      </c>
      <c r="F809" s="16">
        <f ca="1" t="shared" si="79"/>
        <v>0</v>
      </c>
      <c r="G809" s="16">
        <f ca="1" t="shared" si="78"/>
        <v>0</v>
      </c>
    </row>
    <row r="810" spans="2:7">
      <c r="B810" s="17" t="str">
        <f t="shared" si="77"/>
        <v>11/2026</v>
      </c>
      <c r="C810" s="18">
        <f t="shared" si="80"/>
        <v>46348</v>
      </c>
      <c r="D810" s="18" t="str">
        <f t="shared" si="81"/>
        <v>22/11/2026 a 28/11/2026</v>
      </c>
      <c r="E810" s="16">
        <f>E805+24</f>
        <v>3870</v>
      </c>
      <c r="F810" s="16">
        <f ca="1" t="shared" si="79"/>
        <v>0</v>
      </c>
      <c r="G810" s="16">
        <f ca="1" t="shared" si="78"/>
        <v>0</v>
      </c>
    </row>
    <row r="811" spans="2:7">
      <c r="B811" s="17" t="str">
        <f t="shared" si="77"/>
        <v>11/2026</v>
      </c>
      <c r="C811" s="18">
        <f t="shared" si="80"/>
        <v>46348</v>
      </c>
      <c r="D811" s="18" t="str">
        <f t="shared" si="81"/>
        <v>22/11/2026 a 28/11/2026</v>
      </c>
      <c r="E811" s="16">
        <f t="shared" si="82"/>
        <v>3872</v>
      </c>
      <c r="F811" s="16">
        <f ca="1" t="shared" si="79"/>
        <v>0</v>
      </c>
      <c r="G811" s="16">
        <f ca="1" t="shared" si="78"/>
        <v>0</v>
      </c>
    </row>
    <row r="812" spans="2:7">
      <c r="B812" s="17" t="str">
        <f t="shared" si="77"/>
        <v>11/2026</v>
      </c>
      <c r="C812" s="18">
        <f t="shared" si="80"/>
        <v>46348</v>
      </c>
      <c r="D812" s="18" t="str">
        <f t="shared" si="81"/>
        <v>22/11/2026 a 28/11/2026</v>
      </c>
      <c r="E812" s="16">
        <f t="shared" si="82"/>
        <v>3874</v>
      </c>
      <c r="F812" s="16">
        <f ca="1" t="shared" si="79"/>
        <v>0</v>
      </c>
      <c r="G812" s="16">
        <f ca="1" t="shared" si="78"/>
        <v>0</v>
      </c>
    </row>
    <row r="813" spans="2:7">
      <c r="B813" s="17" t="str">
        <f t="shared" si="77"/>
        <v>11/2026</v>
      </c>
      <c r="C813" s="18">
        <f t="shared" si="80"/>
        <v>46348</v>
      </c>
      <c r="D813" s="18" t="str">
        <f t="shared" si="81"/>
        <v>22/11/2026 a 28/11/2026</v>
      </c>
      <c r="E813" s="16">
        <f t="shared" si="82"/>
        <v>3876</v>
      </c>
      <c r="F813" s="16">
        <f ca="1" t="shared" si="79"/>
        <v>0</v>
      </c>
      <c r="G813" s="16">
        <f ca="1" t="shared" si="78"/>
        <v>0</v>
      </c>
    </row>
    <row r="814" spans="2:7">
      <c r="B814" s="17" t="str">
        <f t="shared" si="77"/>
        <v>11/2026</v>
      </c>
      <c r="C814" s="18">
        <f t="shared" si="80"/>
        <v>46348</v>
      </c>
      <c r="D814" s="18" t="str">
        <f t="shared" si="81"/>
        <v>22/11/2026 a 28/11/2026</v>
      </c>
      <c r="E814" s="16">
        <f t="shared" si="82"/>
        <v>3878</v>
      </c>
      <c r="F814" s="16">
        <f ca="1" t="shared" si="79"/>
        <v>0</v>
      </c>
      <c r="G814" s="16">
        <f ca="1" t="shared" si="78"/>
        <v>0</v>
      </c>
    </row>
    <row r="815" spans="2:7">
      <c r="B815" s="17" t="str">
        <f t="shared" si="77"/>
        <v>11/2026</v>
      </c>
      <c r="C815" s="18">
        <f t="shared" si="80"/>
        <v>46355</v>
      </c>
      <c r="D815" s="18" t="str">
        <f t="shared" si="81"/>
        <v>29/11/2026 a 05/12/2026</v>
      </c>
      <c r="E815" s="16">
        <f>E810+24</f>
        <v>3894</v>
      </c>
      <c r="F815" s="16">
        <f ca="1" t="shared" si="79"/>
        <v>0</v>
      </c>
      <c r="G815" s="16">
        <f ca="1" t="shared" si="78"/>
        <v>0</v>
      </c>
    </row>
    <row r="816" spans="2:7">
      <c r="B816" s="17" t="str">
        <f t="shared" si="77"/>
        <v>11/2026</v>
      </c>
      <c r="C816" s="18">
        <f t="shared" si="80"/>
        <v>46355</v>
      </c>
      <c r="D816" s="18" t="str">
        <f t="shared" si="81"/>
        <v>29/11/2026 a 05/12/2026</v>
      </c>
      <c r="E816" s="16">
        <f t="shared" si="82"/>
        <v>3896</v>
      </c>
      <c r="F816" s="16">
        <f ca="1" t="shared" si="79"/>
        <v>0</v>
      </c>
      <c r="G816" s="16">
        <f ca="1" t="shared" si="78"/>
        <v>0</v>
      </c>
    </row>
    <row r="817" spans="2:7">
      <c r="B817" s="17" t="str">
        <f t="shared" si="77"/>
        <v>11/2026</v>
      </c>
      <c r="C817" s="18">
        <f t="shared" si="80"/>
        <v>46355</v>
      </c>
      <c r="D817" s="18" t="str">
        <f t="shared" si="81"/>
        <v>29/11/2026 a 05/12/2026</v>
      </c>
      <c r="E817" s="16">
        <f t="shared" si="82"/>
        <v>3898</v>
      </c>
      <c r="F817" s="16">
        <f ca="1" t="shared" si="79"/>
        <v>0</v>
      </c>
      <c r="G817" s="16">
        <f ca="1" t="shared" si="78"/>
        <v>0</v>
      </c>
    </row>
    <row r="818" spans="2:7">
      <c r="B818" s="17" t="str">
        <f t="shared" si="77"/>
        <v>11/2026</v>
      </c>
      <c r="C818" s="18">
        <f t="shared" si="80"/>
        <v>46355</v>
      </c>
      <c r="D818" s="18" t="str">
        <f t="shared" si="81"/>
        <v>29/11/2026 a 05/12/2026</v>
      </c>
      <c r="E818" s="16">
        <f t="shared" si="82"/>
        <v>3900</v>
      </c>
      <c r="F818" s="16">
        <f ca="1" t="shared" si="79"/>
        <v>0</v>
      </c>
      <c r="G818" s="16">
        <f ca="1" t="shared" si="78"/>
        <v>0</v>
      </c>
    </row>
    <row r="819" spans="2:7">
      <c r="B819" s="17" t="str">
        <f t="shared" si="77"/>
        <v>11/2026</v>
      </c>
      <c r="C819" s="18">
        <f t="shared" si="80"/>
        <v>46355</v>
      </c>
      <c r="D819" s="18" t="str">
        <f t="shared" si="81"/>
        <v>29/11/2026 a 05/12/2026</v>
      </c>
      <c r="E819" s="16">
        <f t="shared" si="82"/>
        <v>3902</v>
      </c>
      <c r="F819" s="16">
        <f ca="1" t="shared" si="79"/>
        <v>0</v>
      </c>
      <c r="G819" s="16">
        <f ca="1" t="shared" si="78"/>
        <v>0</v>
      </c>
    </row>
    <row r="820" spans="2:7">
      <c r="B820" s="17" t="str">
        <f t="shared" si="77"/>
        <v>12/2026</v>
      </c>
      <c r="C820" s="18">
        <f t="shared" si="80"/>
        <v>46362</v>
      </c>
      <c r="D820" s="18" t="str">
        <f t="shared" si="81"/>
        <v>06/12/2026 a 12/12/2026</v>
      </c>
      <c r="E820" s="16">
        <f>E815+24</f>
        <v>3918</v>
      </c>
      <c r="F820" s="16">
        <f ca="1" t="shared" si="79"/>
        <v>0</v>
      </c>
      <c r="G820" s="16">
        <f ca="1" t="shared" si="78"/>
        <v>0</v>
      </c>
    </row>
    <row r="821" spans="2:7">
      <c r="B821" s="17" t="str">
        <f t="shared" si="77"/>
        <v>12/2026</v>
      </c>
      <c r="C821" s="18">
        <f t="shared" si="80"/>
        <v>46362</v>
      </c>
      <c r="D821" s="18" t="str">
        <f t="shared" si="81"/>
        <v>06/12/2026 a 12/12/2026</v>
      </c>
      <c r="E821" s="16">
        <f t="shared" si="82"/>
        <v>3920</v>
      </c>
      <c r="F821" s="16">
        <f ca="1" t="shared" si="79"/>
        <v>0</v>
      </c>
      <c r="G821" s="16">
        <f ca="1" t="shared" si="78"/>
        <v>0</v>
      </c>
    </row>
    <row r="822" spans="2:7">
      <c r="B822" s="17" t="str">
        <f t="shared" si="77"/>
        <v>12/2026</v>
      </c>
      <c r="C822" s="18">
        <f t="shared" si="80"/>
        <v>46362</v>
      </c>
      <c r="D822" s="18" t="str">
        <f t="shared" si="81"/>
        <v>06/12/2026 a 12/12/2026</v>
      </c>
      <c r="E822" s="16">
        <f t="shared" si="82"/>
        <v>3922</v>
      </c>
      <c r="F822" s="16">
        <f ca="1" t="shared" si="79"/>
        <v>0</v>
      </c>
      <c r="G822" s="16">
        <f ca="1" t="shared" si="78"/>
        <v>0</v>
      </c>
    </row>
    <row r="823" spans="2:7">
      <c r="B823" s="17" t="str">
        <f t="shared" si="77"/>
        <v>12/2026</v>
      </c>
      <c r="C823" s="18">
        <f t="shared" si="80"/>
        <v>46362</v>
      </c>
      <c r="D823" s="18" t="str">
        <f t="shared" si="81"/>
        <v>06/12/2026 a 12/12/2026</v>
      </c>
      <c r="E823" s="16">
        <f t="shared" si="82"/>
        <v>3924</v>
      </c>
      <c r="F823" s="16">
        <f ca="1" t="shared" si="79"/>
        <v>0</v>
      </c>
      <c r="G823" s="16">
        <f ca="1" t="shared" si="78"/>
        <v>0</v>
      </c>
    </row>
    <row r="824" spans="2:7">
      <c r="B824" s="17" t="str">
        <f t="shared" si="77"/>
        <v>12/2026</v>
      </c>
      <c r="C824" s="18">
        <f t="shared" si="80"/>
        <v>46362</v>
      </c>
      <c r="D824" s="18" t="str">
        <f t="shared" si="81"/>
        <v>06/12/2026 a 12/12/2026</v>
      </c>
      <c r="E824" s="16">
        <f t="shared" si="82"/>
        <v>3926</v>
      </c>
      <c r="F824" s="16">
        <f ca="1" t="shared" si="79"/>
        <v>0</v>
      </c>
      <c r="G824" s="16">
        <f ca="1" t="shared" si="78"/>
        <v>0</v>
      </c>
    </row>
    <row r="825" spans="2:7">
      <c r="B825" s="17" t="str">
        <f t="shared" ref="B825:B888" si="83">MONTH(C825)&amp;"/"&amp;YEAR(C825)</f>
        <v>12/2026</v>
      </c>
      <c r="C825" s="18">
        <f t="shared" si="80"/>
        <v>46369</v>
      </c>
      <c r="D825" s="18" t="str">
        <f t="shared" si="81"/>
        <v>13/12/2026 a 19/12/2026</v>
      </c>
      <c r="E825" s="16">
        <f>E820+24</f>
        <v>3942</v>
      </c>
      <c r="F825" s="16">
        <f ca="1" t="shared" si="79"/>
        <v>0</v>
      </c>
      <c r="G825" s="16">
        <f ca="1" t="shared" ref="G825:G888" si="84">INDIRECT("'Diário'!J"&amp;E825)</f>
        <v>0</v>
      </c>
    </row>
    <row r="826" spans="2:7">
      <c r="B826" s="17" t="str">
        <f t="shared" si="83"/>
        <v>12/2026</v>
      </c>
      <c r="C826" s="18">
        <f t="shared" si="80"/>
        <v>46369</v>
      </c>
      <c r="D826" s="18" t="str">
        <f t="shared" si="81"/>
        <v>13/12/2026 a 19/12/2026</v>
      </c>
      <c r="E826" s="16">
        <f t="shared" si="82"/>
        <v>3944</v>
      </c>
      <c r="F826" s="16">
        <f ca="1" t="shared" si="79"/>
        <v>0</v>
      </c>
      <c r="G826" s="16">
        <f ca="1" t="shared" si="84"/>
        <v>0</v>
      </c>
    </row>
    <row r="827" spans="2:7">
      <c r="B827" s="17" t="str">
        <f t="shared" si="83"/>
        <v>12/2026</v>
      </c>
      <c r="C827" s="18">
        <f t="shared" si="80"/>
        <v>46369</v>
      </c>
      <c r="D827" s="18" t="str">
        <f t="shared" si="81"/>
        <v>13/12/2026 a 19/12/2026</v>
      </c>
      <c r="E827" s="16">
        <f t="shared" si="82"/>
        <v>3946</v>
      </c>
      <c r="F827" s="16">
        <f ca="1" t="shared" si="79"/>
        <v>0</v>
      </c>
      <c r="G827" s="16">
        <f ca="1" t="shared" si="84"/>
        <v>0</v>
      </c>
    </row>
    <row r="828" spans="2:7">
      <c r="B828" s="17" t="str">
        <f t="shared" si="83"/>
        <v>12/2026</v>
      </c>
      <c r="C828" s="18">
        <f t="shared" si="80"/>
        <v>46369</v>
      </c>
      <c r="D828" s="18" t="str">
        <f t="shared" si="81"/>
        <v>13/12/2026 a 19/12/2026</v>
      </c>
      <c r="E828" s="16">
        <f t="shared" si="82"/>
        <v>3948</v>
      </c>
      <c r="F828" s="16">
        <f ca="1" t="shared" si="79"/>
        <v>0</v>
      </c>
      <c r="G828" s="16">
        <f ca="1" t="shared" si="84"/>
        <v>0</v>
      </c>
    </row>
    <row r="829" spans="2:7">
      <c r="B829" s="17" t="str">
        <f t="shared" si="83"/>
        <v>12/2026</v>
      </c>
      <c r="C829" s="18">
        <f t="shared" si="80"/>
        <v>46369</v>
      </c>
      <c r="D829" s="18" t="str">
        <f t="shared" si="81"/>
        <v>13/12/2026 a 19/12/2026</v>
      </c>
      <c r="E829" s="16">
        <f t="shared" si="82"/>
        <v>3950</v>
      </c>
      <c r="F829" s="16">
        <f ca="1" t="shared" si="79"/>
        <v>0</v>
      </c>
      <c r="G829" s="16">
        <f ca="1" t="shared" si="84"/>
        <v>0</v>
      </c>
    </row>
    <row r="830" spans="2:7">
      <c r="B830" s="17" t="str">
        <f t="shared" si="83"/>
        <v>12/2026</v>
      </c>
      <c r="C830" s="18">
        <f t="shared" si="80"/>
        <v>46376</v>
      </c>
      <c r="D830" s="18" t="str">
        <f t="shared" si="81"/>
        <v>20/12/2026 a 26/12/2026</v>
      </c>
      <c r="E830" s="16">
        <f>E825+24</f>
        <v>3966</v>
      </c>
      <c r="F830" s="16">
        <f ca="1" t="shared" ref="F830:F893" si="85">INDIRECT("Diário!I"&amp;E830)</f>
        <v>0</v>
      </c>
      <c r="G830" s="16">
        <f ca="1" t="shared" si="84"/>
        <v>0</v>
      </c>
    </row>
    <row r="831" spans="2:7">
      <c r="B831" s="17" t="str">
        <f t="shared" si="83"/>
        <v>12/2026</v>
      </c>
      <c r="C831" s="18">
        <f t="shared" si="80"/>
        <v>46376</v>
      </c>
      <c r="D831" s="18" t="str">
        <f t="shared" si="81"/>
        <v>20/12/2026 a 26/12/2026</v>
      </c>
      <c r="E831" s="16">
        <f t="shared" si="82"/>
        <v>3968</v>
      </c>
      <c r="F831" s="16">
        <f ca="1" t="shared" si="85"/>
        <v>0</v>
      </c>
      <c r="G831" s="16">
        <f ca="1" t="shared" si="84"/>
        <v>0</v>
      </c>
    </row>
    <row r="832" spans="2:7">
      <c r="B832" s="17" t="str">
        <f t="shared" si="83"/>
        <v>12/2026</v>
      </c>
      <c r="C832" s="18">
        <f t="shared" si="80"/>
        <v>46376</v>
      </c>
      <c r="D832" s="18" t="str">
        <f t="shared" si="81"/>
        <v>20/12/2026 a 26/12/2026</v>
      </c>
      <c r="E832" s="16">
        <f t="shared" si="82"/>
        <v>3970</v>
      </c>
      <c r="F832" s="16">
        <f ca="1" t="shared" si="85"/>
        <v>0</v>
      </c>
      <c r="G832" s="16">
        <f ca="1" t="shared" si="84"/>
        <v>0</v>
      </c>
    </row>
    <row r="833" spans="2:7">
      <c r="B833" s="17" t="str">
        <f t="shared" si="83"/>
        <v>12/2026</v>
      </c>
      <c r="C833" s="18">
        <f t="shared" si="80"/>
        <v>46376</v>
      </c>
      <c r="D833" s="18" t="str">
        <f t="shared" si="81"/>
        <v>20/12/2026 a 26/12/2026</v>
      </c>
      <c r="E833" s="16">
        <f t="shared" si="82"/>
        <v>3972</v>
      </c>
      <c r="F833" s="16">
        <f ca="1" t="shared" si="85"/>
        <v>0</v>
      </c>
      <c r="G833" s="16">
        <f ca="1" t="shared" si="84"/>
        <v>0</v>
      </c>
    </row>
    <row r="834" spans="2:7">
      <c r="B834" s="17" t="str">
        <f t="shared" si="83"/>
        <v>12/2026</v>
      </c>
      <c r="C834" s="18">
        <f t="shared" si="80"/>
        <v>46376</v>
      </c>
      <c r="D834" s="18" t="str">
        <f t="shared" si="81"/>
        <v>20/12/2026 a 26/12/2026</v>
      </c>
      <c r="E834" s="16">
        <f t="shared" si="82"/>
        <v>3974</v>
      </c>
      <c r="F834" s="16">
        <f ca="1" t="shared" si="85"/>
        <v>0</v>
      </c>
      <c r="G834" s="16">
        <f ca="1" t="shared" si="84"/>
        <v>0</v>
      </c>
    </row>
    <row r="835" spans="2:7">
      <c r="B835" s="17" t="str">
        <f t="shared" si="83"/>
        <v>12/2026</v>
      </c>
      <c r="C835" s="18">
        <f t="shared" si="80"/>
        <v>46383</v>
      </c>
      <c r="D835" s="18" t="str">
        <f t="shared" si="81"/>
        <v>27/12/2026 a 02/01/2027</v>
      </c>
      <c r="E835" s="16">
        <f>E830+24</f>
        <v>3990</v>
      </c>
      <c r="F835" s="16">
        <f ca="1" t="shared" si="85"/>
        <v>0</v>
      </c>
      <c r="G835" s="16">
        <f ca="1" t="shared" si="84"/>
        <v>0</v>
      </c>
    </row>
    <row r="836" spans="2:7">
      <c r="B836" s="17" t="str">
        <f t="shared" si="83"/>
        <v>12/2026</v>
      </c>
      <c r="C836" s="18">
        <f t="shared" si="80"/>
        <v>46383</v>
      </c>
      <c r="D836" s="18" t="str">
        <f t="shared" si="81"/>
        <v>27/12/2026 a 02/01/2027</v>
      </c>
      <c r="E836" s="16">
        <f t="shared" si="82"/>
        <v>3992</v>
      </c>
      <c r="F836" s="16">
        <f ca="1" t="shared" si="85"/>
        <v>0</v>
      </c>
      <c r="G836" s="16">
        <f ca="1" t="shared" si="84"/>
        <v>0</v>
      </c>
    </row>
    <row r="837" spans="2:7">
      <c r="B837" s="17" t="str">
        <f t="shared" si="83"/>
        <v>12/2026</v>
      </c>
      <c r="C837" s="18">
        <f t="shared" si="80"/>
        <v>46383</v>
      </c>
      <c r="D837" s="18" t="str">
        <f t="shared" si="81"/>
        <v>27/12/2026 a 02/01/2027</v>
      </c>
      <c r="E837" s="16">
        <f t="shared" si="82"/>
        <v>3994</v>
      </c>
      <c r="F837" s="16">
        <f ca="1" t="shared" si="85"/>
        <v>0</v>
      </c>
      <c r="G837" s="16">
        <f ca="1" t="shared" si="84"/>
        <v>0</v>
      </c>
    </row>
    <row r="838" spans="2:7">
      <c r="B838" s="17" t="str">
        <f t="shared" si="83"/>
        <v>12/2026</v>
      </c>
      <c r="C838" s="18">
        <f t="shared" si="80"/>
        <v>46383</v>
      </c>
      <c r="D838" s="18" t="str">
        <f t="shared" si="81"/>
        <v>27/12/2026 a 02/01/2027</v>
      </c>
      <c r="E838" s="16">
        <f t="shared" si="82"/>
        <v>3996</v>
      </c>
      <c r="F838" s="16">
        <f ca="1" t="shared" si="85"/>
        <v>0</v>
      </c>
      <c r="G838" s="16">
        <f ca="1" t="shared" si="84"/>
        <v>0</v>
      </c>
    </row>
    <row r="839" spans="2:7">
      <c r="B839" s="17" t="str">
        <f t="shared" si="83"/>
        <v>12/2026</v>
      </c>
      <c r="C839" s="18">
        <f t="shared" si="80"/>
        <v>46383</v>
      </c>
      <c r="D839" s="18" t="str">
        <f t="shared" si="81"/>
        <v>27/12/2026 a 02/01/2027</v>
      </c>
      <c r="E839" s="16">
        <f t="shared" si="82"/>
        <v>3998</v>
      </c>
      <c r="F839" s="16">
        <f ca="1" t="shared" si="85"/>
        <v>0</v>
      </c>
      <c r="G839" s="16">
        <f ca="1" t="shared" si="84"/>
        <v>0</v>
      </c>
    </row>
    <row r="840" spans="2:7">
      <c r="B840" s="17" t="str">
        <f t="shared" si="83"/>
        <v>1/2027</v>
      </c>
      <c r="C840" s="18">
        <f t="shared" si="80"/>
        <v>46390</v>
      </c>
      <c r="D840" s="18" t="str">
        <f t="shared" si="81"/>
        <v>03/01/2027 a 09/01/2027</v>
      </c>
      <c r="E840" s="16">
        <f>E835+24</f>
        <v>4014</v>
      </c>
      <c r="F840" s="16">
        <f ca="1" t="shared" si="85"/>
        <v>0</v>
      </c>
      <c r="G840" s="16">
        <f ca="1" t="shared" si="84"/>
        <v>0</v>
      </c>
    </row>
    <row r="841" spans="2:7">
      <c r="B841" s="17" t="str">
        <f t="shared" si="83"/>
        <v>1/2027</v>
      </c>
      <c r="C841" s="18">
        <f t="shared" si="80"/>
        <v>46390</v>
      </c>
      <c r="D841" s="18" t="str">
        <f t="shared" si="81"/>
        <v>03/01/2027 a 09/01/2027</v>
      </c>
      <c r="E841" s="16">
        <f t="shared" si="82"/>
        <v>4016</v>
      </c>
      <c r="F841" s="16">
        <f ca="1" t="shared" si="85"/>
        <v>0</v>
      </c>
      <c r="G841" s="16">
        <f ca="1" t="shared" si="84"/>
        <v>0</v>
      </c>
    </row>
    <row r="842" spans="2:7">
      <c r="B842" s="17" t="str">
        <f t="shared" si="83"/>
        <v>1/2027</v>
      </c>
      <c r="C842" s="18">
        <f t="shared" si="80"/>
        <v>46390</v>
      </c>
      <c r="D842" s="18" t="str">
        <f t="shared" si="81"/>
        <v>03/01/2027 a 09/01/2027</v>
      </c>
      <c r="E842" s="16">
        <f t="shared" si="82"/>
        <v>4018</v>
      </c>
      <c r="F842" s="16">
        <f ca="1" t="shared" si="85"/>
        <v>0</v>
      </c>
      <c r="G842" s="16">
        <f ca="1" t="shared" si="84"/>
        <v>0</v>
      </c>
    </row>
    <row r="843" spans="2:7">
      <c r="B843" s="17" t="str">
        <f t="shared" si="83"/>
        <v>1/2027</v>
      </c>
      <c r="C843" s="18">
        <f t="shared" si="80"/>
        <v>46390</v>
      </c>
      <c r="D843" s="18" t="str">
        <f t="shared" si="81"/>
        <v>03/01/2027 a 09/01/2027</v>
      </c>
      <c r="E843" s="16">
        <f t="shared" si="82"/>
        <v>4020</v>
      </c>
      <c r="F843" s="16">
        <f ca="1" t="shared" si="85"/>
        <v>0</v>
      </c>
      <c r="G843" s="16">
        <f ca="1" t="shared" si="84"/>
        <v>0</v>
      </c>
    </row>
    <row r="844" spans="2:7">
      <c r="B844" s="17" t="str">
        <f t="shared" si="83"/>
        <v>1/2027</v>
      </c>
      <c r="C844" s="18">
        <f t="shared" si="80"/>
        <v>46390</v>
      </c>
      <c r="D844" s="18" t="str">
        <f t="shared" si="81"/>
        <v>03/01/2027 a 09/01/2027</v>
      </c>
      <c r="E844" s="16">
        <f t="shared" si="82"/>
        <v>4022</v>
      </c>
      <c r="F844" s="16">
        <f ca="1" t="shared" si="85"/>
        <v>0</v>
      </c>
      <c r="G844" s="16">
        <f ca="1" t="shared" si="84"/>
        <v>0</v>
      </c>
    </row>
    <row r="845" spans="2:7">
      <c r="B845" s="17" t="str">
        <f t="shared" si="83"/>
        <v>1/2027</v>
      </c>
      <c r="C845" s="18">
        <f t="shared" si="80"/>
        <v>46397</v>
      </c>
      <c r="D845" s="18" t="str">
        <f t="shared" si="81"/>
        <v>10/01/2027 a 16/01/2027</v>
      </c>
      <c r="E845" s="16">
        <f>E840+24</f>
        <v>4038</v>
      </c>
      <c r="F845" s="16">
        <f ca="1" t="shared" si="85"/>
        <v>0</v>
      </c>
      <c r="G845" s="16">
        <f ca="1" t="shared" si="84"/>
        <v>0</v>
      </c>
    </row>
    <row r="846" spans="2:7">
      <c r="B846" s="17" t="str">
        <f t="shared" si="83"/>
        <v>1/2027</v>
      </c>
      <c r="C846" s="18">
        <f t="shared" si="80"/>
        <v>46397</v>
      </c>
      <c r="D846" s="18" t="str">
        <f t="shared" si="81"/>
        <v>10/01/2027 a 16/01/2027</v>
      </c>
      <c r="E846" s="16">
        <f t="shared" si="82"/>
        <v>4040</v>
      </c>
      <c r="F846" s="16">
        <f ca="1" t="shared" si="85"/>
        <v>0</v>
      </c>
      <c r="G846" s="16">
        <f ca="1" t="shared" si="84"/>
        <v>0</v>
      </c>
    </row>
    <row r="847" spans="2:7">
      <c r="B847" s="17" t="str">
        <f t="shared" si="83"/>
        <v>1/2027</v>
      </c>
      <c r="C847" s="18">
        <f t="shared" si="80"/>
        <v>46397</v>
      </c>
      <c r="D847" s="18" t="str">
        <f t="shared" si="81"/>
        <v>10/01/2027 a 16/01/2027</v>
      </c>
      <c r="E847" s="16">
        <f t="shared" si="82"/>
        <v>4042</v>
      </c>
      <c r="F847" s="16">
        <f ca="1" t="shared" si="85"/>
        <v>0</v>
      </c>
      <c r="G847" s="16">
        <f ca="1" t="shared" si="84"/>
        <v>0</v>
      </c>
    </row>
    <row r="848" spans="2:7">
      <c r="B848" s="17" t="str">
        <f t="shared" si="83"/>
        <v>1/2027</v>
      </c>
      <c r="C848" s="18">
        <f t="shared" si="80"/>
        <v>46397</v>
      </c>
      <c r="D848" s="18" t="str">
        <f t="shared" si="81"/>
        <v>10/01/2027 a 16/01/2027</v>
      </c>
      <c r="E848" s="16">
        <f t="shared" si="82"/>
        <v>4044</v>
      </c>
      <c r="F848" s="16">
        <f ca="1" t="shared" si="85"/>
        <v>0</v>
      </c>
      <c r="G848" s="16">
        <f ca="1" t="shared" si="84"/>
        <v>0</v>
      </c>
    </row>
    <row r="849" spans="2:7">
      <c r="B849" s="17" t="str">
        <f t="shared" si="83"/>
        <v>1/2027</v>
      </c>
      <c r="C849" s="18">
        <f t="shared" si="80"/>
        <v>46397</v>
      </c>
      <c r="D849" s="18" t="str">
        <f t="shared" si="81"/>
        <v>10/01/2027 a 16/01/2027</v>
      </c>
      <c r="E849" s="16">
        <f t="shared" si="82"/>
        <v>4046</v>
      </c>
      <c r="F849" s="16">
        <f ca="1" t="shared" si="85"/>
        <v>0</v>
      </c>
      <c r="G849" s="16">
        <f ca="1" t="shared" si="84"/>
        <v>0</v>
      </c>
    </row>
    <row r="850" spans="2:7">
      <c r="B850" s="17" t="str">
        <f t="shared" si="83"/>
        <v>1/2027</v>
      </c>
      <c r="C850" s="18">
        <f t="shared" ref="C850:C913" si="86">C845+7</f>
        <v>46404</v>
      </c>
      <c r="D850" s="18" t="str">
        <f t="shared" si="81"/>
        <v>17/01/2027 a 23/01/2027</v>
      </c>
      <c r="E850" s="16">
        <f>E845+24</f>
        <v>4062</v>
      </c>
      <c r="F850" s="16">
        <f ca="1" t="shared" si="85"/>
        <v>0</v>
      </c>
      <c r="G850" s="16">
        <f ca="1" t="shared" si="84"/>
        <v>0</v>
      </c>
    </row>
    <row r="851" spans="2:7">
      <c r="B851" s="17" t="str">
        <f t="shared" si="83"/>
        <v>1/2027</v>
      </c>
      <c r="C851" s="18">
        <f t="shared" si="86"/>
        <v>46404</v>
      </c>
      <c r="D851" s="18" t="str">
        <f t="shared" ref="D851:D914" si="87">TEXT((C851),"DD/MM/AAAA")&amp;" a "&amp;TEXT((C851+6),"DD/MM/AAAA")</f>
        <v>17/01/2027 a 23/01/2027</v>
      </c>
      <c r="E851" s="16">
        <f t="shared" si="82"/>
        <v>4064</v>
      </c>
      <c r="F851" s="16">
        <f ca="1" t="shared" si="85"/>
        <v>0</v>
      </c>
      <c r="G851" s="16">
        <f ca="1" t="shared" si="84"/>
        <v>0</v>
      </c>
    </row>
    <row r="852" spans="2:7">
      <c r="B852" s="17" t="str">
        <f t="shared" si="83"/>
        <v>1/2027</v>
      </c>
      <c r="C852" s="18">
        <f t="shared" si="86"/>
        <v>46404</v>
      </c>
      <c r="D852" s="18" t="str">
        <f t="shared" si="87"/>
        <v>17/01/2027 a 23/01/2027</v>
      </c>
      <c r="E852" s="16">
        <f t="shared" si="82"/>
        <v>4066</v>
      </c>
      <c r="F852" s="16">
        <f ca="1" t="shared" si="85"/>
        <v>0</v>
      </c>
      <c r="G852" s="16">
        <f ca="1" t="shared" si="84"/>
        <v>0</v>
      </c>
    </row>
    <row r="853" spans="2:7">
      <c r="B853" s="17" t="str">
        <f t="shared" si="83"/>
        <v>1/2027</v>
      </c>
      <c r="C853" s="18">
        <f t="shared" si="86"/>
        <v>46404</v>
      </c>
      <c r="D853" s="18" t="str">
        <f t="shared" si="87"/>
        <v>17/01/2027 a 23/01/2027</v>
      </c>
      <c r="E853" s="16">
        <f t="shared" si="82"/>
        <v>4068</v>
      </c>
      <c r="F853" s="16">
        <f ca="1" t="shared" si="85"/>
        <v>0</v>
      </c>
      <c r="G853" s="16">
        <f ca="1" t="shared" si="84"/>
        <v>0</v>
      </c>
    </row>
    <row r="854" spans="2:7">
      <c r="B854" s="17" t="str">
        <f t="shared" si="83"/>
        <v>1/2027</v>
      </c>
      <c r="C854" s="18">
        <f t="shared" si="86"/>
        <v>46404</v>
      </c>
      <c r="D854" s="18" t="str">
        <f t="shared" si="87"/>
        <v>17/01/2027 a 23/01/2027</v>
      </c>
      <c r="E854" s="16">
        <f t="shared" si="82"/>
        <v>4070</v>
      </c>
      <c r="F854" s="16">
        <f ca="1" t="shared" si="85"/>
        <v>0</v>
      </c>
      <c r="G854" s="16">
        <f ca="1" t="shared" si="84"/>
        <v>0</v>
      </c>
    </row>
    <row r="855" spans="2:7">
      <c r="B855" s="17" t="str">
        <f t="shared" si="83"/>
        <v>1/2027</v>
      </c>
      <c r="C855" s="18">
        <f t="shared" si="86"/>
        <v>46411</v>
      </c>
      <c r="D855" s="18" t="str">
        <f t="shared" si="87"/>
        <v>24/01/2027 a 30/01/2027</v>
      </c>
      <c r="E855" s="16">
        <f>E850+24</f>
        <v>4086</v>
      </c>
      <c r="F855" s="16">
        <f ca="1" t="shared" si="85"/>
        <v>0</v>
      </c>
      <c r="G855" s="16">
        <f ca="1" t="shared" si="84"/>
        <v>0</v>
      </c>
    </row>
    <row r="856" spans="2:7">
      <c r="B856" s="17" t="str">
        <f t="shared" si="83"/>
        <v>1/2027</v>
      </c>
      <c r="C856" s="18">
        <f t="shared" si="86"/>
        <v>46411</v>
      </c>
      <c r="D856" s="18" t="str">
        <f t="shared" si="87"/>
        <v>24/01/2027 a 30/01/2027</v>
      </c>
      <c r="E856" s="16">
        <f t="shared" si="82"/>
        <v>4088</v>
      </c>
      <c r="F856" s="16">
        <f ca="1" t="shared" si="85"/>
        <v>0</v>
      </c>
      <c r="G856" s="16">
        <f ca="1" t="shared" si="84"/>
        <v>0</v>
      </c>
    </row>
    <row r="857" spans="2:7">
      <c r="B857" s="17" t="str">
        <f t="shared" si="83"/>
        <v>1/2027</v>
      </c>
      <c r="C857" s="18">
        <f t="shared" si="86"/>
        <v>46411</v>
      </c>
      <c r="D857" s="18" t="str">
        <f t="shared" si="87"/>
        <v>24/01/2027 a 30/01/2027</v>
      </c>
      <c r="E857" s="16">
        <f t="shared" si="82"/>
        <v>4090</v>
      </c>
      <c r="F857" s="16">
        <f ca="1" t="shared" si="85"/>
        <v>0</v>
      </c>
      <c r="G857" s="16">
        <f ca="1" t="shared" si="84"/>
        <v>0</v>
      </c>
    </row>
    <row r="858" spans="2:7">
      <c r="B858" s="17" t="str">
        <f t="shared" si="83"/>
        <v>1/2027</v>
      </c>
      <c r="C858" s="18">
        <f t="shared" si="86"/>
        <v>46411</v>
      </c>
      <c r="D858" s="18" t="str">
        <f t="shared" si="87"/>
        <v>24/01/2027 a 30/01/2027</v>
      </c>
      <c r="E858" s="16">
        <f t="shared" si="82"/>
        <v>4092</v>
      </c>
      <c r="F858" s="16">
        <f ca="1" t="shared" si="85"/>
        <v>0</v>
      </c>
      <c r="G858" s="16">
        <f ca="1" t="shared" si="84"/>
        <v>0</v>
      </c>
    </row>
    <row r="859" spans="2:7">
      <c r="B859" s="17" t="str">
        <f t="shared" si="83"/>
        <v>1/2027</v>
      </c>
      <c r="C859" s="18">
        <f t="shared" si="86"/>
        <v>46411</v>
      </c>
      <c r="D859" s="18" t="str">
        <f t="shared" si="87"/>
        <v>24/01/2027 a 30/01/2027</v>
      </c>
      <c r="E859" s="16">
        <f t="shared" si="82"/>
        <v>4094</v>
      </c>
      <c r="F859" s="16">
        <f ca="1" t="shared" si="85"/>
        <v>0</v>
      </c>
      <c r="G859" s="16">
        <f ca="1" t="shared" si="84"/>
        <v>0</v>
      </c>
    </row>
    <row r="860" spans="2:7">
      <c r="B860" s="17" t="str">
        <f t="shared" si="83"/>
        <v>1/2027</v>
      </c>
      <c r="C860" s="18">
        <f t="shared" si="86"/>
        <v>46418</v>
      </c>
      <c r="D860" s="18" t="str">
        <f t="shared" si="87"/>
        <v>31/01/2027 a 06/02/2027</v>
      </c>
      <c r="E860" s="16">
        <f>E855+24</f>
        <v>4110</v>
      </c>
      <c r="F860" s="16">
        <f ca="1" t="shared" si="85"/>
        <v>0</v>
      </c>
      <c r="G860" s="16">
        <f ca="1" t="shared" si="84"/>
        <v>0</v>
      </c>
    </row>
    <row r="861" spans="2:7">
      <c r="B861" s="17" t="str">
        <f t="shared" si="83"/>
        <v>1/2027</v>
      </c>
      <c r="C861" s="18">
        <f t="shared" si="86"/>
        <v>46418</v>
      </c>
      <c r="D861" s="18" t="str">
        <f t="shared" si="87"/>
        <v>31/01/2027 a 06/02/2027</v>
      </c>
      <c r="E861" s="16">
        <f t="shared" si="82"/>
        <v>4112</v>
      </c>
      <c r="F861" s="16">
        <f ca="1" t="shared" si="85"/>
        <v>0</v>
      </c>
      <c r="G861" s="16">
        <f ca="1" t="shared" si="84"/>
        <v>0</v>
      </c>
    </row>
    <row r="862" spans="2:7">
      <c r="B862" s="17" t="str">
        <f t="shared" si="83"/>
        <v>1/2027</v>
      </c>
      <c r="C862" s="18">
        <f t="shared" si="86"/>
        <v>46418</v>
      </c>
      <c r="D862" s="18" t="str">
        <f t="shared" si="87"/>
        <v>31/01/2027 a 06/02/2027</v>
      </c>
      <c r="E862" s="16">
        <f t="shared" si="82"/>
        <v>4114</v>
      </c>
      <c r="F862" s="16">
        <f ca="1" t="shared" si="85"/>
        <v>0</v>
      </c>
      <c r="G862" s="16">
        <f ca="1" t="shared" si="84"/>
        <v>0</v>
      </c>
    </row>
    <row r="863" spans="2:7">
      <c r="B863" s="17" t="str">
        <f t="shared" si="83"/>
        <v>1/2027</v>
      </c>
      <c r="C863" s="18">
        <f t="shared" si="86"/>
        <v>46418</v>
      </c>
      <c r="D863" s="18" t="str">
        <f t="shared" si="87"/>
        <v>31/01/2027 a 06/02/2027</v>
      </c>
      <c r="E863" s="16">
        <f t="shared" si="82"/>
        <v>4116</v>
      </c>
      <c r="F863" s="16">
        <f ca="1" t="shared" si="85"/>
        <v>0</v>
      </c>
      <c r="G863" s="16">
        <f ca="1" t="shared" si="84"/>
        <v>0</v>
      </c>
    </row>
    <row r="864" spans="2:7">
      <c r="B864" s="17" t="str">
        <f t="shared" si="83"/>
        <v>1/2027</v>
      </c>
      <c r="C864" s="18">
        <f t="shared" si="86"/>
        <v>46418</v>
      </c>
      <c r="D864" s="18" t="str">
        <f t="shared" si="87"/>
        <v>31/01/2027 a 06/02/2027</v>
      </c>
      <c r="E864" s="16">
        <f t="shared" si="82"/>
        <v>4118</v>
      </c>
      <c r="F864" s="16">
        <f ca="1" t="shared" si="85"/>
        <v>0</v>
      </c>
      <c r="G864" s="16">
        <f ca="1" t="shared" si="84"/>
        <v>0</v>
      </c>
    </row>
    <row r="865" spans="2:7">
      <c r="B865" s="17" t="str">
        <f t="shared" si="83"/>
        <v>2/2027</v>
      </c>
      <c r="C865" s="18">
        <f t="shared" si="86"/>
        <v>46425</v>
      </c>
      <c r="D865" s="18" t="str">
        <f t="shared" si="87"/>
        <v>07/02/2027 a 13/02/2027</v>
      </c>
      <c r="E865" s="16">
        <f>E860+24</f>
        <v>4134</v>
      </c>
      <c r="F865" s="16">
        <f ca="1" t="shared" si="85"/>
        <v>0</v>
      </c>
      <c r="G865" s="16">
        <f ca="1" t="shared" si="84"/>
        <v>0</v>
      </c>
    </row>
    <row r="866" spans="2:7">
      <c r="B866" s="17" t="str">
        <f t="shared" si="83"/>
        <v>2/2027</v>
      </c>
      <c r="C866" s="18">
        <f t="shared" si="86"/>
        <v>46425</v>
      </c>
      <c r="D866" s="18" t="str">
        <f t="shared" si="87"/>
        <v>07/02/2027 a 13/02/2027</v>
      </c>
      <c r="E866" s="16">
        <f t="shared" si="82"/>
        <v>4136</v>
      </c>
      <c r="F866" s="16">
        <f ca="1" t="shared" si="85"/>
        <v>0</v>
      </c>
      <c r="G866" s="16">
        <f ca="1" t="shared" si="84"/>
        <v>0</v>
      </c>
    </row>
    <row r="867" spans="2:7">
      <c r="B867" s="17" t="str">
        <f t="shared" si="83"/>
        <v>2/2027</v>
      </c>
      <c r="C867" s="18">
        <f t="shared" si="86"/>
        <v>46425</v>
      </c>
      <c r="D867" s="18" t="str">
        <f t="shared" si="87"/>
        <v>07/02/2027 a 13/02/2027</v>
      </c>
      <c r="E867" s="16">
        <f t="shared" si="82"/>
        <v>4138</v>
      </c>
      <c r="F867" s="16">
        <f ca="1" t="shared" si="85"/>
        <v>0</v>
      </c>
      <c r="G867" s="16">
        <f ca="1" t="shared" si="84"/>
        <v>0</v>
      </c>
    </row>
    <row r="868" spans="2:7">
      <c r="B868" s="17" t="str">
        <f t="shared" si="83"/>
        <v>2/2027</v>
      </c>
      <c r="C868" s="18">
        <f t="shared" si="86"/>
        <v>46425</v>
      </c>
      <c r="D868" s="18" t="str">
        <f t="shared" si="87"/>
        <v>07/02/2027 a 13/02/2027</v>
      </c>
      <c r="E868" s="16">
        <f t="shared" si="82"/>
        <v>4140</v>
      </c>
      <c r="F868" s="16">
        <f ca="1" t="shared" si="85"/>
        <v>0</v>
      </c>
      <c r="G868" s="16">
        <f ca="1" t="shared" si="84"/>
        <v>0</v>
      </c>
    </row>
    <row r="869" spans="2:7">
      <c r="B869" s="17" t="str">
        <f t="shared" si="83"/>
        <v>2/2027</v>
      </c>
      <c r="C869" s="18">
        <f t="shared" si="86"/>
        <v>46425</v>
      </c>
      <c r="D869" s="18" t="str">
        <f t="shared" si="87"/>
        <v>07/02/2027 a 13/02/2027</v>
      </c>
      <c r="E869" s="16">
        <f t="shared" si="82"/>
        <v>4142</v>
      </c>
      <c r="F869" s="16">
        <f ca="1" t="shared" si="85"/>
        <v>0</v>
      </c>
      <c r="G869" s="16">
        <f ca="1" t="shared" si="84"/>
        <v>0</v>
      </c>
    </row>
    <row r="870" spans="2:7">
      <c r="B870" s="17" t="str">
        <f t="shared" si="83"/>
        <v>2/2027</v>
      </c>
      <c r="C870" s="18">
        <f t="shared" si="86"/>
        <v>46432</v>
      </c>
      <c r="D870" s="18" t="str">
        <f t="shared" si="87"/>
        <v>14/02/2027 a 20/02/2027</v>
      </c>
      <c r="E870" s="16">
        <f>E865+24</f>
        <v>4158</v>
      </c>
      <c r="F870" s="16">
        <f ca="1" t="shared" si="85"/>
        <v>0</v>
      </c>
      <c r="G870" s="16">
        <f ca="1" t="shared" si="84"/>
        <v>0</v>
      </c>
    </row>
    <row r="871" spans="2:7">
      <c r="B871" s="17" t="str">
        <f t="shared" si="83"/>
        <v>2/2027</v>
      </c>
      <c r="C871" s="18">
        <f t="shared" si="86"/>
        <v>46432</v>
      </c>
      <c r="D871" s="18" t="str">
        <f t="shared" si="87"/>
        <v>14/02/2027 a 20/02/2027</v>
      </c>
      <c r="E871" s="16">
        <f t="shared" ref="E871:E934" si="88">E870+2</f>
        <v>4160</v>
      </c>
      <c r="F871" s="16">
        <f ca="1" t="shared" si="85"/>
        <v>0</v>
      </c>
      <c r="G871" s="16">
        <f ca="1" t="shared" si="84"/>
        <v>0</v>
      </c>
    </row>
    <row r="872" spans="2:7">
      <c r="B872" s="17" t="str">
        <f t="shared" si="83"/>
        <v>2/2027</v>
      </c>
      <c r="C872" s="18">
        <f t="shared" si="86"/>
        <v>46432</v>
      </c>
      <c r="D872" s="18" t="str">
        <f t="shared" si="87"/>
        <v>14/02/2027 a 20/02/2027</v>
      </c>
      <c r="E872" s="16">
        <f t="shared" si="88"/>
        <v>4162</v>
      </c>
      <c r="F872" s="16">
        <f ca="1" t="shared" si="85"/>
        <v>0</v>
      </c>
      <c r="G872" s="16">
        <f ca="1" t="shared" si="84"/>
        <v>0</v>
      </c>
    </row>
    <row r="873" spans="2:7">
      <c r="B873" s="17" t="str">
        <f t="shared" si="83"/>
        <v>2/2027</v>
      </c>
      <c r="C873" s="18">
        <f t="shared" si="86"/>
        <v>46432</v>
      </c>
      <c r="D873" s="18" t="str">
        <f t="shared" si="87"/>
        <v>14/02/2027 a 20/02/2027</v>
      </c>
      <c r="E873" s="16">
        <f t="shared" si="88"/>
        <v>4164</v>
      </c>
      <c r="F873" s="16">
        <f ca="1" t="shared" si="85"/>
        <v>0</v>
      </c>
      <c r="G873" s="16">
        <f ca="1" t="shared" si="84"/>
        <v>0</v>
      </c>
    </row>
    <row r="874" spans="2:7">
      <c r="B874" s="17" t="str">
        <f t="shared" si="83"/>
        <v>2/2027</v>
      </c>
      <c r="C874" s="18">
        <f t="shared" si="86"/>
        <v>46432</v>
      </c>
      <c r="D874" s="18" t="str">
        <f t="shared" si="87"/>
        <v>14/02/2027 a 20/02/2027</v>
      </c>
      <c r="E874" s="16">
        <f t="shared" si="88"/>
        <v>4166</v>
      </c>
      <c r="F874" s="16">
        <f ca="1" t="shared" si="85"/>
        <v>0</v>
      </c>
      <c r="G874" s="16">
        <f ca="1" t="shared" si="84"/>
        <v>0</v>
      </c>
    </row>
    <row r="875" spans="2:7">
      <c r="B875" s="17" t="str">
        <f t="shared" si="83"/>
        <v>2/2027</v>
      </c>
      <c r="C875" s="18">
        <f t="shared" si="86"/>
        <v>46439</v>
      </c>
      <c r="D875" s="18" t="str">
        <f t="shared" si="87"/>
        <v>21/02/2027 a 27/02/2027</v>
      </c>
      <c r="E875" s="16">
        <f>E870+24</f>
        <v>4182</v>
      </c>
      <c r="F875" s="16">
        <f ca="1" t="shared" si="85"/>
        <v>0</v>
      </c>
      <c r="G875" s="16">
        <f ca="1" t="shared" si="84"/>
        <v>0</v>
      </c>
    </row>
    <row r="876" spans="2:7">
      <c r="B876" s="17" t="str">
        <f t="shared" si="83"/>
        <v>2/2027</v>
      </c>
      <c r="C876" s="18">
        <f t="shared" si="86"/>
        <v>46439</v>
      </c>
      <c r="D876" s="18" t="str">
        <f t="shared" si="87"/>
        <v>21/02/2027 a 27/02/2027</v>
      </c>
      <c r="E876" s="16">
        <f t="shared" si="88"/>
        <v>4184</v>
      </c>
      <c r="F876" s="16">
        <f ca="1" t="shared" si="85"/>
        <v>0</v>
      </c>
      <c r="G876" s="16">
        <f ca="1" t="shared" si="84"/>
        <v>0</v>
      </c>
    </row>
    <row r="877" spans="2:7">
      <c r="B877" s="17" t="str">
        <f t="shared" si="83"/>
        <v>2/2027</v>
      </c>
      <c r="C877" s="18">
        <f t="shared" si="86"/>
        <v>46439</v>
      </c>
      <c r="D877" s="18" t="str">
        <f t="shared" si="87"/>
        <v>21/02/2027 a 27/02/2027</v>
      </c>
      <c r="E877" s="16">
        <f t="shared" si="88"/>
        <v>4186</v>
      </c>
      <c r="F877" s="16">
        <f ca="1" t="shared" si="85"/>
        <v>0</v>
      </c>
      <c r="G877" s="16">
        <f ca="1" t="shared" si="84"/>
        <v>0</v>
      </c>
    </row>
    <row r="878" spans="2:7">
      <c r="B878" s="17" t="str">
        <f t="shared" si="83"/>
        <v>2/2027</v>
      </c>
      <c r="C878" s="18">
        <f t="shared" si="86"/>
        <v>46439</v>
      </c>
      <c r="D878" s="18" t="str">
        <f t="shared" si="87"/>
        <v>21/02/2027 a 27/02/2027</v>
      </c>
      <c r="E878" s="16">
        <f t="shared" si="88"/>
        <v>4188</v>
      </c>
      <c r="F878" s="16">
        <f ca="1" t="shared" si="85"/>
        <v>0</v>
      </c>
      <c r="G878" s="16">
        <f ca="1" t="shared" si="84"/>
        <v>0</v>
      </c>
    </row>
    <row r="879" spans="2:7">
      <c r="B879" s="17" t="str">
        <f t="shared" si="83"/>
        <v>2/2027</v>
      </c>
      <c r="C879" s="18">
        <f t="shared" si="86"/>
        <v>46439</v>
      </c>
      <c r="D879" s="18" t="str">
        <f t="shared" si="87"/>
        <v>21/02/2027 a 27/02/2027</v>
      </c>
      <c r="E879" s="16">
        <f t="shared" si="88"/>
        <v>4190</v>
      </c>
      <c r="F879" s="16">
        <f ca="1" t="shared" si="85"/>
        <v>0</v>
      </c>
      <c r="G879" s="16">
        <f ca="1" t="shared" si="84"/>
        <v>0</v>
      </c>
    </row>
    <row r="880" spans="2:7">
      <c r="B880" s="17" t="str">
        <f t="shared" si="83"/>
        <v>2/2027</v>
      </c>
      <c r="C880" s="18">
        <f t="shared" si="86"/>
        <v>46446</v>
      </c>
      <c r="D880" s="18" t="str">
        <f t="shared" si="87"/>
        <v>28/02/2027 a 06/03/2027</v>
      </c>
      <c r="E880" s="16">
        <f>E875+24</f>
        <v>4206</v>
      </c>
      <c r="F880" s="16">
        <f ca="1" t="shared" si="85"/>
        <v>0</v>
      </c>
      <c r="G880" s="16">
        <f ca="1" t="shared" si="84"/>
        <v>0</v>
      </c>
    </row>
    <row r="881" spans="2:7">
      <c r="B881" s="17" t="str">
        <f t="shared" si="83"/>
        <v>2/2027</v>
      </c>
      <c r="C881" s="18">
        <f t="shared" si="86"/>
        <v>46446</v>
      </c>
      <c r="D881" s="18" t="str">
        <f t="shared" si="87"/>
        <v>28/02/2027 a 06/03/2027</v>
      </c>
      <c r="E881" s="16">
        <f t="shared" si="88"/>
        <v>4208</v>
      </c>
      <c r="F881" s="16">
        <f ca="1" t="shared" si="85"/>
        <v>0</v>
      </c>
      <c r="G881" s="16">
        <f ca="1" t="shared" si="84"/>
        <v>0</v>
      </c>
    </row>
    <row r="882" spans="2:7">
      <c r="B882" s="17" t="str">
        <f t="shared" si="83"/>
        <v>2/2027</v>
      </c>
      <c r="C882" s="18">
        <f t="shared" si="86"/>
        <v>46446</v>
      </c>
      <c r="D882" s="18" t="str">
        <f t="shared" si="87"/>
        <v>28/02/2027 a 06/03/2027</v>
      </c>
      <c r="E882" s="16">
        <f t="shared" si="88"/>
        <v>4210</v>
      </c>
      <c r="F882" s="16">
        <f ca="1" t="shared" si="85"/>
        <v>0</v>
      </c>
      <c r="G882" s="16">
        <f ca="1" t="shared" si="84"/>
        <v>0</v>
      </c>
    </row>
    <row r="883" spans="2:7">
      <c r="B883" s="17" t="str">
        <f t="shared" si="83"/>
        <v>2/2027</v>
      </c>
      <c r="C883" s="18">
        <f t="shared" si="86"/>
        <v>46446</v>
      </c>
      <c r="D883" s="18" t="str">
        <f t="shared" si="87"/>
        <v>28/02/2027 a 06/03/2027</v>
      </c>
      <c r="E883" s="16">
        <f t="shared" si="88"/>
        <v>4212</v>
      </c>
      <c r="F883" s="16">
        <f ca="1" t="shared" si="85"/>
        <v>0</v>
      </c>
      <c r="G883" s="16">
        <f ca="1" t="shared" si="84"/>
        <v>0</v>
      </c>
    </row>
    <row r="884" spans="2:7">
      <c r="B884" s="17" t="str">
        <f t="shared" si="83"/>
        <v>2/2027</v>
      </c>
      <c r="C884" s="18">
        <f t="shared" si="86"/>
        <v>46446</v>
      </c>
      <c r="D884" s="18" t="str">
        <f t="shared" si="87"/>
        <v>28/02/2027 a 06/03/2027</v>
      </c>
      <c r="E884" s="16">
        <f t="shared" si="88"/>
        <v>4214</v>
      </c>
      <c r="F884" s="16">
        <f ca="1" t="shared" si="85"/>
        <v>0</v>
      </c>
      <c r="G884" s="16">
        <f ca="1" t="shared" si="84"/>
        <v>0</v>
      </c>
    </row>
    <row r="885" spans="2:7">
      <c r="B885" s="17" t="str">
        <f t="shared" si="83"/>
        <v>3/2027</v>
      </c>
      <c r="C885" s="18">
        <f t="shared" si="86"/>
        <v>46453</v>
      </c>
      <c r="D885" s="18" t="str">
        <f t="shared" si="87"/>
        <v>07/03/2027 a 13/03/2027</v>
      </c>
      <c r="E885" s="16">
        <f>E880+24</f>
        <v>4230</v>
      </c>
      <c r="F885" s="16">
        <f ca="1" t="shared" si="85"/>
        <v>0</v>
      </c>
      <c r="G885" s="16">
        <f ca="1" t="shared" si="84"/>
        <v>0</v>
      </c>
    </row>
    <row r="886" spans="2:7">
      <c r="B886" s="17" t="str">
        <f t="shared" si="83"/>
        <v>3/2027</v>
      </c>
      <c r="C886" s="18">
        <f t="shared" si="86"/>
        <v>46453</v>
      </c>
      <c r="D886" s="18" t="str">
        <f t="shared" si="87"/>
        <v>07/03/2027 a 13/03/2027</v>
      </c>
      <c r="E886" s="16">
        <f t="shared" si="88"/>
        <v>4232</v>
      </c>
      <c r="F886" s="16">
        <f ca="1" t="shared" si="85"/>
        <v>0</v>
      </c>
      <c r="G886" s="16">
        <f ca="1" t="shared" si="84"/>
        <v>0</v>
      </c>
    </row>
    <row r="887" spans="2:7">
      <c r="B887" s="17" t="str">
        <f t="shared" si="83"/>
        <v>3/2027</v>
      </c>
      <c r="C887" s="18">
        <f t="shared" si="86"/>
        <v>46453</v>
      </c>
      <c r="D887" s="18" t="str">
        <f t="shared" si="87"/>
        <v>07/03/2027 a 13/03/2027</v>
      </c>
      <c r="E887" s="16">
        <f t="shared" si="88"/>
        <v>4234</v>
      </c>
      <c r="F887" s="16">
        <f ca="1" t="shared" si="85"/>
        <v>0</v>
      </c>
      <c r="G887" s="16">
        <f ca="1" t="shared" si="84"/>
        <v>0</v>
      </c>
    </row>
    <row r="888" spans="2:7">
      <c r="B888" s="17" t="str">
        <f t="shared" si="83"/>
        <v>3/2027</v>
      </c>
      <c r="C888" s="18">
        <f t="shared" si="86"/>
        <v>46453</v>
      </c>
      <c r="D888" s="18" t="str">
        <f t="shared" si="87"/>
        <v>07/03/2027 a 13/03/2027</v>
      </c>
      <c r="E888" s="16">
        <f t="shared" si="88"/>
        <v>4236</v>
      </c>
      <c r="F888" s="16">
        <f ca="1" t="shared" si="85"/>
        <v>0</v>
      </c>
      <c r="G888" s="16">
        <f ca="1" t="shared" si="84"/>
        <v>0</v>
      </c>
    </row>
    <row r="889" spans="2:7">
      <c r="B889" s="17" t="str">
        <f t="shared" ref="B889:B952" si="89">MONTH(C889)&amp;"/"&amp;YEAR(C889)</f>
        <v>3/2027</v>
      </c>
      <c r="C889" s="18">
        <f t="shared" si="86"/>
        <v>46453</v>
      </c>
      <c r="D889" s="18" t="str">
        <f t="shared" si="87"/>
        <v>07/03/2027 a 13/03/2027</v>
      </c>
      <c r="E889" s="16">
        <f t="shared" si="88"/>
        <v>4238</v>
      </c>
      <c r="F889" s="16">
        <f ca="1" t="shared" si="85"/>
        <v>0</v>
      </c>
      <c r="G889" s="16">
        <f ca="1" t="shared" ref="G889:G952" si="90">INDIRECT("'Diário'!J"&amp;E889)</f>
        <v>0</v>
      </c>
    </row>
    <row r="890" spans="2:7">
      <c r="B890" s="17" t="str">
        <f t="shared" si="89"/>
        <v>3/2027</v>
      </c>
      <c r="C890" s="18">
        <f t="shared" si="86"/>
        <v>46460</v>
      </c>
      <c r="D890" s="18" t="str">
        <f t="shared" si="87"/>
        <v>14/03/2027 a 20/03/2027</v>
      </c>
      <c r="E890" s="16">
        <f>E885+24</f>
        <v>4254</v>
      </c>
      <c r="F890" s="16">
        <f ca="1" t="shared" si="85"/>
        <v>0</v>
      </c>
      <c r="G890" s="16">
        <f ca="1" t="shared" si="90"/>
        <v>0</v>
      </c>
    </row>
    <row r="891" spans="2:7">
      <c r="B891" s="17" t="str">
        <f t="shared" si="89"/>
        <v>3/2027</v>
      </c>
      <c r="C891" s="18">
        <f t="shared" si="86"/>
        <v>46460</v>
      </c>
      <c r="D891" s="18" t="str">
        <f t="shared" si="87"/>
        <v>14/03/2027 a 20/03/2027</v>
      </c>
      <c r="E891" s="16">
        <f t="shared" si="88"/>
        <v>4256</v>
      </c>
      <c r="F891" s="16">
        <f ca="1" t="shared" si="85"/>
        <v>0</v>
      </c>
      <c r="G891" s="16">
        <f ca="1" t="shared" si="90"/>
        <v>0</v>
      </c>
    </row>
    <row r="892" spans="2:7">
      <c r="B892" s="17" t="str">
        <f t="shared" si="89"/>
        <v>3/2027</v>
      </c>
      <c r="C892" s="18">
        <f t="shared" si="86"/>
        <v>46460</v>
      </c>
      <c r="D892" s="18" t="str">
        <f t="shared" si="87"/>
        <v>14/03/2027 a 20/03/2027</v>
      </c>
      <c r="E892" s="16">
        <f t="shared" si="88"/>
        <v>4258</v>
      </c>
      <c r="F892" s="16">
        <f ca="1" t="shared" si="85"/>
        <v>0</v>
      </c>
      <c r="G892" s="16">
        <f ca="1" t="shared" si="90"/>
        <v>0</v>
      </c>
    </row>
    <row r="893" spans="2:7">
      <c r="B893" s="17" t="str">
        <f t="shared" si="89"/>
        <v>3/2027</v>
      </c>
      <c r="C893" s="18">
        <f t="shared" si="86"/>
        <v>46460</v>
      </c>
      <c r="D893" s="18" t="str">
        <f t="shared" si="87"/>
        <v>14/03/2027 a 20/03/2027</v>
      </c>
      <c r="E893" s="16">
        <f t="shared" si="88"/>
        <v>4260</v>
      </c>
      <c r="F893" s="16">
        <f ca="1" t="shared" si="85"/>
        <v>0</v>
      </c>
      <c r="G893" s="16">
        <f ca="1" t="shared" si="90"/>
        <v>0</v>
      </c>
    </row>
    <row r="894" spans="2:7">
      <c r="B894" s="17" t="str">
        <f t="shared" si="89"/>
        <v>3/2027</v>
      </c>
      <c r="C894" s="18">
        <f t="shared" si="86"/>
        <v>46460</v>
      </c>
      <c r="D894" s="18" t="str">
        <f t="shared" si="87"/>
        <v>14/03/2027 a 20/03/2027</v>
      </c>
      <c r="E894" s="16">
        <f t="shared" si="88"/>
        <v>4262</v>
      </c>
      <c r="F894" s="16">
        <f ca="1" t="shared" ref="F894:F957" si="91">INDIRECT("Diário!I"&amp;E894)</f>
        <v>0</v>
      </c>
      <c r="G894" s="16">
        <f ca="1" t="shared" si="90"/>
        <v>0</v>
      </c>
    </row>
    <row r="895" spans="2:7">
      <c r="B895" s="17" t="str">
        <f t="shared" si="89"/>
        <v>3/2027</v>
      </c>
      <c r="C895" s="18">
        <f t="shared" si="86"/>
        <v>46467</v>
      </c>
      <c r="D895" s="18" t="str">
        <f t="shared" si="87"/>
        <v>21/03/2027 a 27/03/2027</v>
      </c>
      <c r="E895" s="16">
        <f>E890+24</f>
        <v>4278</v>
      </c>
      <c r="F895" s="16">
        <f ca="1" t="shared" si="91"/>
        <v>0</v>
      </c>
      <c r="G895" s="16">
        <f ca="1" t="shared" si="90"/>
        <v>0</v>
      </c>
    </row>
    <row r="896" spans="2:7">
      <c r="B896" s="17" t="str">
        <f t="shared" si="89"/>
        <v>3/2027</v>
      </c>
      <c r="C896" s="18">
        <f t="shared" si="86"/>
        <v>46467</v>
      </c>
      <c r="D896" s="18" t="str">
        <f t="shared" si="87"/>
        <v>21/03/2027 a 27/03/2027</v>
      </c>
      <c r="E896" s="16">
        <f t="shared" si="88"/>
        <v>4280</v>
      </c>
      <c r="F896" s="16">
        <f ca="1" t="shared" si="91"/>
        <v>0</v>
      </c>
      <c r="G896" s="16">
        <f ca="1" t="shared" si="90"/>
        <v>0</v>
      </c>
    </row>
    <row r="897" spans="2:7">
      <c r="B897" s="17" t="str">
        <f t="shared" si="89"/>
        <v>3/2027</v>
      </c>
      <c r="C897" s="18">
        <f t="shared" si="86"/>
        <v>46467</v>
      </c>
      <c r="D897" s="18" t="str">
        <f t="shared" si="87"/>
        <v>21/03/2027 a 27/03/2027</v>
      </c>
      <c r="E897" s="16">
        <f t="shared" si="88"/>
        <v>4282</v>
      </c>
      <c r="F897" s="16">
        <f ca="1" t="shared" si="91"/>
        <v>0</v>
      </c>
      <c r="G897" s="16">
        <f ca="1" t="shared" si="90"/>
        <v>0</v>
      </c>
    </row>
    <row r="898" spans="2:7">
      <c r="B898" s="17" t="str">
        <f t="shared" si="89"/>
        <v>3/2027</v>
      </c>
      <c r="C898" s="18">
        <f t="shared" si="86"/>
        <v>46467</v>
      </c>
      <c r="D898" s="18" t="str">
        <f t="shared" si="87"/>
        <v>21/03/2027 a 27/03/2027</v>
      </c>
      <c r="E898" s="16">
        <f t="shared" si="88"/>
        <v>4284</v>
      </c>
      <c r="F898" s="16">
        <f ca="1" t="shared" si="91"/>
        <v>0</v>
      </c>
      <c r="G898" s="16">
        <f ca="1" t="shared" si="90"/>
        <v>0</v>
      </c>
    </row>
    <row r="899" spans="2:7">
      <c r="B899" s="17" t="str">
        <f t="shared" si="89"/>
        <v>3/2027</v>
      </c>
      <c r="C899" s="18">
        <f t="shared" si="86"/>
        <v>46467</v>
      </c>
      <c r="D899" s="18" t="str">
        <f t="shared" si="87"/>
        <v>21/03/2027 a 27/03/2027</v>
      </c>
      <c r="E899" s="16">
        <f t="shared" si="88"/>
        <v>4286</v>
      </c>
      <c r="F899" s="16">
        <f ca="1" t="shared" si="91"/>
        <v>0</v>
      </c>
      <c r="G899" s="16">
        <f ca="1" t="shared" si="90"/>
        <v>0</v>
      </c>
    </row>
    <row r="900" spans="2:7">
      <c r="B900" s="17" t="str">
        <f t="shared" si="89"/>
        <v>3/2027</v>
      </c>
      <c r="C900" s="18">
        <f t="shared" si="86"/>
        <v>46474</v>
      </c>
      <c r="D900" s="18" t="str">
        <f t="shared" si="87"/>
        <v>28/03/2027 a 03/04/2027</v>
      </c>
      <c r="E900" s="16">
        <f>E895+24</f>
        <v>4302</v>
      </c>
      <c r="F900" s="16">
        <f ca="1" t="shared" si="91"/>
        <v>0</v>
      </c>
      <c r="G900" s="16">
        <f ca="1" t="shared" si="90"/>
        <v>0</v>
      </c>
    </row>
    <row r="901" spans="2:7">
      <c r="B901" s="17" t="str">
        <f t="shared" si="89"/>
        <v>3/2027</v>
      </c>
      <c r="C901" s="18">
        <f t="shared" si="86"/>
        <v>46474</v>
      </c>
      <c r="D901" s="18" t="str">
        <f t="shared" si="87"/>
        <v>28/03/2027 a 03/04/2027</v>
      </c>
      <c r="E901" s="16">
        <f t="shared" si="88"/>
        <v>4304</v>
      </c>
      <c r="F901" s="16">
        <f ca="1" t="shared" si="91"/>
        <v>0</v>
      </c>
      <c r="G901" s="16">
        <f ca="1" t="shared" si="90"/>
        <v>0</v>
      </c>
    </row>
    <row r="902" spans="2:7">
      <c r="B902" s="17" t="str">
        <f t="shared" si="89"/>
        <v>3/2027</v>
      </c>
      <c r="C902" s="18">
        <f t="shared" si="86"/>
        <v>46474</v>
      </c>
      <c r="D902" s="18" t="str">
        <f t="shared" si="87"/>
        <v>28/03/2027 a 03/04/2027</v>
      </c>
      <c r="E902" s="16">
        <f t="shared" si="88"/>
        <v>4306</v>
      </c>
      <c r="F902" s="16">
        <f ca="1" t="shared" si="91"/>
        <v>0</v>
      </c>
      <c r="G902" s="16">
        <f ca="1" t="shared" si="90"/>
        <v>0</v>
      </c>
    </row>
    <row r="903" spans="2:7">
      <c r="B903" s="17" t="str">
        <f t="shared" si="89"/>
        <v>3/2027</v>
      </c>
      <c r="C903" s="18">
        <f t="shared" si="86"/>
        <v>46474</v>
      </c>
      <c r="D903" s="18" t="str">
        <f t="shared" si="87"/>
        <v>28/03/2027 a 03/04/2027</v>
      </c>
      <c r="E903" s="16">
        <f t="shared" si="88"/>
        <v>4308</v>
      </c>
      <c r="F903" s="16">
        <f ca="1" t="shared" si="91"/>
        <v>0</v>
      </c>
      <c r="G903" s="16">
        <f ca="1" t="shared" si="90"/>
        <v>0</v>
      </c>
    </row>
    <row r="904" spans="2:7">
      <c r="B904" s="17" t="str">
        <f t="shared" si="89"/>
        <v>3/2027</v>
      </c>
      <c r="C904" s="18">
        <f t="shared" si="86"/>
        <v>46474</v>
      </c>
      <c r="D904" s="18" t="str">
        <f t="shared" si="87"/>
        <v>28/03/2027 a 03/04/2027</v>
      </c>
      <c r="E904" s="16">
        <f t="shared" si="88"/>
        <v>4310</v>
      </c>
      <c r="F904" s="16">
        <f ca="1" t="shared" si="91"/>
        <v>0</v>
      </c>
      <c r="G904" s="16">
        <f ca="1" t="shared" si="90"/>
        <v>0</v>
      </c>
    </row>
    <row r="905" spans="2:7">
      <c r="B905" s="17" t="str">
        <f t="shared" si="89"/>
        <v>4/2027</v>
      </c>
      <c r="C905" s="18">
        <f t="shared" si="86"/>
        <v>46481</v>
      </c>
      <c r="D905" s="18" t="str">
        <f t="shared" si="87"/>
        <v>04/04/2027 a 10/04/2027</v>
      </c>
      <c r="E905" s="16">
        <f>E900+24</f>
        <v>4326</v>
      </c>
      <c r="F905" s="16">
        <f ca="1" t="shared" si="91"/>
        <v>0</v>
      </c>
      <c r="G905" s="16">
        <f ca="1" t="shared" si="90"/>
        <v>0</v>
      </c>
    </row>
    <row r="906" spans="2:7">
      <c r="B906" s="17" t="str">
        <f t="shared" si="89"/>
        <v>4/2027</v>
      </c>
      <c r="C906" s="18">
        <f t="shared" si="86"/>
        <v>46481</v>
      </c>
      <c r="D906" s="18" t="str">
        <f t="shared" si="87"/>
        <v>04/04/2027 a 10/04/2027</v>
      </c>
      <c r="E906" s="16">
        <f t="shared" si="88"/>
        <v>4328</v>
      </c>
      <c r="F906" s="16">
        <f ca="1" t="shared" si="91"/>
        <v>0</v>
      </c>
      <c r="G906" s="16">
        <f ca="1" t="shared" si="90"/>
        <v>0</v>
      </c>
    </row>
    <row r="907" spans="2:7">
      <c r="B907" s="17" t="str">
        <f t="shared" si="89"/>
        <v>4/2027</v>
      </c>
      <c r="C907" s="18">
        <f t="shared" si="86"/>
        <v>46481</v>
      </c>
      <c r="D907" s="18" t="str">
        <f t="shared" si="87"/>
        <v>04/04/2027 a 10/04/2027</v>
      </c>
      <c r="E907" s="16">
        <f t="shared" si="88"/>
        <v>4330</v>
      </c>
      <c r="F907" s="16">
        <f ca="1" t="shared" si="91"/>
        <v>0</v>
      </c>
      <c r="G907" s="16">
        <f ca="1" t="shared" si="90"/>
        <v>0</v>
      </c>
    </row>
    <row r="908" spans="2:7">
      <c r="B908" s="17" t="str">
        <f t="shared" si="89"/>
        <v>4/2027</v>
      </c>
      <c r="C908" s="18">
        <f t="shared" si="86"/>
        <v>46481</v>
      </c>
      <c r="D908" s="18" t="str">
        <f t="shared" si="87"/>
        <v>04/04/2027 a 10/04/2027</v>
      </c>
      <c r="E908" s="16">
        <f t="shared" si="88"/>
        <v>4332</v>
      </c>
      <c r="F908" s="16">
        <f ca="1" t="shared" si="91"/>
        <v>0</v>
      </c>
      <c r="G908" s="16">
        <f ca="1" t="shared" si="90"/>
        <v>0</v>
      </c>
    </row>
    <row r="909" spans="2:7">
      <c r="B909" s="17" t="str">
        <f t="shared" si="89"/>
        <v>4/2027</v>
      </c>
      <c r="C909" s="18">
        <f t="shared" si="86"/>
        <v>46481</v>
      </c>
      <c r="D909" s="18" t="str">
        <f t="shared" si="87"/>
        <v>04/04/2027 a 10/04/2027</v>
      </c>
      <c r="E909" s="16">
        <f t="shared" si="88"/>
        <v>4334</v>
      </c>
      <c r="F909" s="16">
        <f ca="1" t="shared" si="91"/>
        <v>0</v>
      </c>
      <c r="G909" s="16">
        <f ca="1" t="shared" si="90"/>
        <v>0</v>
      </c>
    </row>
    <row r="910" spans="2:7">
      <c r="B910" s="17" t="str">
        <f t="shared" si="89"/>
        <v>4/2027</v>
      </c>
      <c r="C910" s="18">
        <f t="shared" si="86"/>
        <v>46488</v>
      </c>
      <c r="D910" s="18" t="str">
        <f t="shared" si="87"/>
        <v>11/04/2027 a 17/04/2027</v>
      </c>
      <c r="E910" s="16">
        <f>E905+24</f>
        <v>4350</v>
      </c>
      <c r="F910" s="16">
        <f ca="1" t="shared" si="91"/>
        <v>0</v>
      </c>
      <c r="G910" s="16">
        <f ca="1" t="shared" si="90"/>
        <v>0</v>
      </c>
    </row>
    <row r="911" spans="2:7">
      <c r="B911" s="17" t="str">
        <f t="shared" si="89"/>
        <v>4/2027</v>
      </c>
      <c r="C911" s="18">
        <f t="shared" si="86"/>
        <v>46488</v>
      </c>
      <c r="D911" s="18" t="str">
        <f t="shared" si="87"/>
        <v>11/04/2027 a 17/04/2027</v>
      </c>
      <c r="E911" s="16">
        <f t="shared" si="88"/>
        <v>4352</v>
      </c>
      <c r="F911" s="16">
        <f ca="1" t="shared" si="91"/>
        <v>0</v>
      </c>
      <c r="G911" s="16">
        <f ca="1" t="shared" si="90"/>
        <v>0</v>
      </c>
    </row>
    <row r="912" spans="2:7">
      <c r="B912" s="17" t="str">
        <f t="shared" si="89"/>
        <v>4/2027</v>
      </c>
      <c r="C912" s="18">
        <f t="shared" si="86"/>
        <v>46488</v>
      </c>
      <c r="D912" s="18" t="str">
        <f t="shared" si="87"/>
        <v>11/04/2027 a 17/04/2027</v>
      </c>
      <c r="E912" s="16">
        <f t="shared" si="88"/>
        <v>4354</v>
      </c>
      <c r="F912" s="16">
        <f ca="1" t="shared" si="91"/>
        <v>0</v>
      </c>
      <c r="G912" s="16">
        <f ca="1" t="shared" si="90"/>
        <v>0</v>
      </c>
    </row>
    <row r="913" spans="2:7">
      <c r="B913" s="17" t="str">
        <f t="shared" si="89"/>
        <v>4/2027</v>
      </c>
      <c r="C913" s="18">
        <f t="shared" si="86"/>
        <v>46488</v>
      </c>
      <c r="D913" s="18" t="str">
        <f t="shared" si="87"/>
        <v>11/04/2027 a 17/04/2027</v>
      </c>
      <c r="E913" s="16">
        <f t="shared" si="88"/>
        <v>4356</v>
      </c>
      <c r="F913" s="16">
        <f ca="1" t="shared" si="91"/>
        <v>0</v>
      </c>
      <c r="G913" s="16">
        <f ca="1" t="shared" si="90"/>
        <v>0</v>
      </c>
    </row>
    <row r="914" spans="2:7">
      <c r="B914" s="17" t="str">
        <f t="shared" si="89"/>
        <v>4/2027</v>
      </c>
      <c r="C914" s="18">
        <f t="shared" ref="C914:C977" si="92">C909+7</f>
        <v>46488</v>
      </c>
      <c r="D914" s="18" t="str">
        <f t="shared" si="87"/>
        <v>11/04/2027 a 17/04/2027</v>
      </c>
      <c r="E914" s="16">
        <f t="shared" si="88"/>
        <v>4358</v>
      </c>
      <c r="F914" s="16">
        <f ca="1" t="shared" si="91"/>
        <v>0</v>
      </c>
      <c r="G914" s="16">
        <f ca="1" t="shared" si="90"/>
        <v>0</v>
      </c>
    </row>
    <row r="915" spans="2:7">
      <c r="B915" s="17" t="str">
        <f t="shared" si="89"/>
        <v>4/2027</v>
      </c>
      <c r="C915" s="18">
        <f t="shared" si="92"/>
        <v>46495</v>
      </c>
      <c r="D915" s="18" t="str">
        <f t="shared" ref="D915:D978" si="93">TEXT((C915),"DD/MM/AAAA")&amp;" a "&amp;TEXT((C915+6),"DD/MM/AAAA")</f>
        <v>18/04/2027 a 24/04/2027</v>
      </c>
      <c r="E915" s="16">
        <f>E910+24</f>
        <v>4374</v>
      </c>
      <c r="F915" s="16">
        <f ca="1" t="shared" si="91"/>
        <v>0</v>
      </c>
      <c r="G915" s="16">
        <f ca="1" t="shared" si="90"/>
        <v>0</v>
      </c>
    </row>
    <row r="916" spans="2:7">
      <c r="B916" s="17" t="str">
        <f t="shared" si="89"/>
        <v>4/2027</v>
      </c>
      <c r="C916" s="18">
        <f t="shared" si="92"/>
        <v>46495</v>
      </c>
      <c r="D916" s="18" t="str">
        <f t="shared" si="93"/>
        <v>18/04/2027 a 24/04/2027</v>
      </c>
      <c r="E916" s="16">
        <f t="shared" si="88"/>
        <v>4376</v>
      </c>
      <c r="F916" s="16">
        <f ca="1" t="shared" si="91"/>
        <v>0</v>
      </c>
      <c r="G916" s="16">
        <f ca="1" t="shared" si="90"/>
        <v>0</v>
      </c>
    </row>
    <row r="917" spans="2:7">
      <c r="B917" s="17" t="str">
        <f t="shared" si="89"/>
        <v>4/2027</v>
      </c>
      <c r="C917" s="18">
        <f t="shared" si="92"/>
        <v>46495</v>
      </c>
      <c r="D917" s="18" t="str">
        <f t="shared" si="93"/>
        <v>18/04/2027 a 24/04/2027</v>
      </c>
      <c r="E917" s="16">
        <f t="shared" si="88"/>
        <v>4378</v>
      </c>
      <c r="F917" s="16">
        <f ca="1" t="shared" si="91"/>
        <v>0</v>
      </c>
      <c r="G917" s="16">
        <f ca="1" t="shared" si="90"/>
        <v>0</v>
      </c>
    </row>
    <row r="918" spans="2:7">
      <c r="B918" s="17" t="str">
        <f t="shared" si="89"/>
        <v>4/2027</v>
      </c>
      <c r="C918" s="18">
        <f t="shared" si="92"/>
        <v>46495</v>
      </c>
      <c r="D918" s="18" t="str">
        <f t="shared" si="93"/>
        <v>18/04/2027 a 24/04/2027</v>
      </c>
      <c r="E918" s="16">
        <f t="shared" si="88"/>
        <v>4380</v>
      </c>
      <c r="F918" s="16">
        <f ca="1" t="shared" si="91"/>
        <v>0</v>
      </c>
      <c r="G918" s="16">
        <f ca="1" t="shared" si="90"/>
        <v>0</v>
      </c>
    </row>
    <row r="919" spans="2:7">
      <c r="B919" s="17" t="str">
        <f t="shared" si="89"/>
        <v>4/2027</v>
      </c>
      <c r="C919" s="18">
        <f t="shared" si="92"/>
        <v>46495</v>
      </c>
      <c r="D919" s="18" t="str">
        <f t="shared" si="93"/>
        <v>18/04/2027 a 24/04/2027</v>
      </c>
      <c r="E919" s="16">
        <f t="shared" si="88"/>
        <v>4382</v>
      </c>
      <c r="F919" s="16">
        <f ca="1" t="shared" si="91"/>
        <v>0</v>
      </c>
      <c r="G919" s="16">
        <f ca="1" t="shared" si="90"/>
        <v>0</v>
      </c>
    </row>
    <row r="920" spans="2:7">
      <c r="B920" s="17" t="str">
        <f t="shared" si="89"/>
        <v>4/2027</v>
      </c>
      <c r="C920" s="18">
        <f t="shared" si="92"/>
        <v>46502</v>
      </c>
      <c r="D920" s="18" t="str">
        <f t="shared" si="93"/>
        <v>25/04/2027 a 01/05/2027</v>
      </c>
      <c r="E920" s="16">
        <f>E915+24</f>
        <v>4398</v>
      </c>
      <c r="F920" s="16">
        <f ca="1" t="shared" si="91"/>
        <v>0</v>
      </c>
      <c r="G920" s="16">
        <f ca="1" t="shared" si="90"/>
        <v>0</v>
      </c>
    </row>
    <row r="921" spans="2:7">
      <c r="B921" s="17" t="str">
        <f t="shared" si="89"/>
        <v>4/2027</v>
      </c>
      <c r="C921" s="18">
        <f t="shared" si="92"/>
        <v>46502</v>
      </c>
      <c r="D921" s="18" t="str">
        <f t="shared" si="93"/>
        <v>25/04/2027 a 01/05/2027</v>
      </c>
      <c r="E921" s="16">
        <f t="shared" si="88"/>
        <v>4400</v>
      </c>
      <c r="F921" s="16">
        <f ca="1" t="shared" si="91"/>
        <v>0</v>
      </c>
      <c r="G921" s="16">
        <f ca="1" t="shared" si="90"/>
        <v>0</v>
      </c>
    </row>
    <row r="922" spans="2:7">
      <c r="B922" s="17" t="str">
        <f t="shared" si="89"/>
        <v>4/2027</v>
      </c>
      <c r="C922" s="18">
        <f t="shared" si="92"/>
        <v>46502</v>
      </c>
      <c r="D922" s="18" t="str">
        <f t="shared" si="93"/>
        <v>25/04/2027 a 01/05/2027</v>
      </c>
      <c r="E922" s="16">
        <f t="shared" si="88"/>
        <v>4402</v>
      </c>
      <c r="F922" s="16">
        <f ca="1" t="shared" si="91"/>
        <v>0</v>
      </c>
      <c r="G922" s="16">
        <f ca="1" t="shared" si="90"/>
        <v>0</v>
      </c>
    </row>
    <row r="923" spans="2:7">
      <c r="B923" s="17" t="str">
        <f t="shared" si="89"/>
        <v>4/2027</v>
      </c>
      <c r="C923" s="18">
        <f t="shared" si="92"/>
        <v>46502</v>
      </c>
      <c r="D923" s="18" t="str">
        <f t="shared" si="93"/>
        <v>25/04/2027 a 01/05/2027</v>
      </c>
      <c r="E923" s="16">
        <f t="shared" si="88"/>
        <v>4404</v>
      </c>
      <c r="F923" s="16">
        <f ca="1" t="shared" si="91"/>
        <v>0</v>
      </c>
      <c r="G923" s="16">
        <f ca="1" t="shared" si="90"/>
        <v>0</v>
      </c>
    </row>
    <row r="924" spans="2:7">
      <c r="B924" s="17" t="str">
        <f t="shared" si="89"/>
        <v>4/2027</v>
      </c>
      <c r="C924" s="18">
        <f t="shared" si="92"/>
        <v>46502</v>
      </c>
      <c r="D924" s="18" t="str">
        <f t="shared" si="93"/>
        <v>25/04/2027 a 01/05/2027</v>
      </c>
      <c r="E924" s="16">
        <f t="shared" si="88"/>
        <v>4406</v>
      </c>
      <c r="F924" s="16">
        <f ca="1" t="shared" si="91"/>
        <v>0</v>
      </c>
      <c r="G924" s="16">
        <f ca="1" t="shared" si="90"/>
        <v>0</v>
      </c>
    </row>
    <row r="925" spans="2:7">
      <c r="B925" s="17" t="str">
        <f t="shared" si="89"/>
        <v>5/2027</v>
      </c>
      <c r="C925" s="18">
        <f t="shared" si="92"/>
        <v>46509</v>
      </c>
      <c r="D925" s="18" t="str">
        <f t="shared" si="93"/>
        <v>02/05/2027 a 08/05/2027</v>
      </c>
      <c r="E925" s="16">
        <f>E920+24</f>
        <v>4422</v>
      </c>
      <c r="F925" s="16">
        <f ca="1" t="shared" si="91"/>
        <v>0</v>
      </c>
      <c r="G925" s="16">
        <f ca="1" t="shared" si="90"/>
        <v>0</v>
      </c>
    </row>
    <row r="926" spans="2:7">
      <c r="B926" s="17" t="str">
        <f t="shared" si="89"/>
        <v>5/2027</v>
      </c>
      <c r="C926" s="18">
        <f t="shared" si="92"/>
        <v>46509</v>
      </c>
      <c r="D926" s="18" t="str">
        <f t="shared" si="93"/>
        <v>02/05/2027 a 08/05/2027</v>
      </c>
      <c r="E926" s="16">
        <f t="shared" si="88"/>
        <v>4424</v>
      </c>
      <c r="F926" s="16">
        <f ca="1" t="shared" si="91"/>
        <v>0</v>
      </c>
      <c r="G926" s="16">
        <f ca="1" t="shared" si="90"/>
        <v>0</v>
      </c>
    </row>
    <row r="927" spans="2:7">
      <c r="B927" s="17" t="str">
        <f t="shared" si="89"/>
        <v>5/2027</v>
      </c>
      <c r="C927" s="18">
        <f t="shared" si="92"/>
        <v>46509</v>
      </c>
      <c r="D927" s="18" t="str">
        <f t="shared" si="93"/>
        <v>02/05/2027 a 08/05/2027</v>
      </c>
      <c r="E927" s="16">
        <f t="shared" si="88"/>
        <v>4426</v>
      </c>
      <c r="F927" s="16">
        <f ca="1" t="shared" si="91"/>
        <v>0</v>
      </c>
      <c r="G927" s="16">
        <f ca="1" t="shared" si="90"/>
        <v>0</v>
      </c>
    </row>
    <row r="928" spans="2:7">
      <c r="B928" s="17" t="str">
        <f t="shared" si="89"/>
        <v>5/2027</v>
      </c>
      <c r="C928" s="18">
        <f t="shared" si="92"/>
        <v>46509</v>
      </c>
      <c r="D928" s="18" t="str">
        <f t="shared" si="93"/>
        <v>02/05/2027 a 08/05/2027</v>
      </c>
      <c r="E928" s="16">
        <f t="shared" si="88"/>
        <v>4428</v>
      </c>
      <c r="F928" s="16">
        <f ca="1" t="shared" si="91"/>
        <v>0</v>
      </c>
      <c r="G928" s="16">
        <f ca="1" t="shared" si="90"/>
        <v>0</v>
      </c>
    </row>
    <row r="929" spans="2:7">
      <c r="B929" s="17" t="str">
        <f t="shared" si="89"/>
        <v>5/2027</v>
      </c>
      <c r="C929" s="18">
        <f t="shared" si="92"/>
        <v>46509</v>
      </c>
      <c r="D929" s="18" t="str">
        <f t="shared" si="93"/>
        <v>02/05/2027 a 08/05/2027</v>
      </c>
      <c r="E929" s="16">
        <f t="shared" si="88"/>
        <v>4430</v>
      </c>
      <c r="F929" s="16">
        <f ca="1" t="shared" si="91"/>
        <v>0</v>
      </c>
      <c r="G929" s="16">
        <f ca="1" t="shared" si="90"/>
        <v>0</v>
      </c>
    </row>
    <row r="930" spans="2:7">
      <c r="B930" s="17" t="str">
        <f t="shared" si="89"/>
        <v>5/2027</v>
      </c>
      <c r="C930" s="18">
        <f t="shared" si="92"/>
        <v>46516</v>
      </c>
      <c r="D930" s="18" t="str">
        <f t="shared" si="93"/>
        <v>09/05/2027 a 15/05/2027</v>
      </c>
      <c r="E930" s="16">
        <f>E925+24</f>
        <v>4446</v>
      </c>
      <c r="F930" s="16">
        <f ca="1" t="shared" si="91"/>
        <v>0</v>
      </c>
      <c r="G930" s="16">
        <f ca="1" t="shared" si="90"/>
        <v>0</v>
      </c>
    </row>
    <row r="931" spans="2:7">
      <c r="B931" s="17" t="str">
        <f t="shared" si="89"/>
        <v>5/2027</v>
      </c>
      <c r="C931" s="18">
        <f t="shared" si="92"/>
        <v>46516</v>
      </c>
      <c r="D931" s="18" t="str">
        <f t="shared" si="93"/>
        <v>09/05/2027 a 15/05/2027</v>
      </c>
      <c r="E931" s="16">
        <f t="shared" si="88"/>
        <v>4448</v>
      </c>
      <c r="F931" s="16">
        <f ca="1" t="shared" si="91"/>
        <v>0</v>
      </c>
      <c r="G931" s="16">
        <f ca="1" t="shared" si="90"/>
        <v>0</v>
      </c>
    </row>
    <row r="932" spans="2:7">
      <c r="B932" s="17" t="str">
        <f t="shared" si="89"/>
        <v>5/2027</v>
      </c>
      <c r="C932" s="18">
        <f t="shared" si="92"/>
        <v>46516</v>
      </c>
      <c r="D932" s="18" t="str">
        <f t="shared" si="93"/>
        <v>09/05/2027 a 15/05/2027</v>
      </c>
      <c r="E932" s="16">
        <f t="shared" si="88"/>
        <v>4450</v>
      </c>
      <c r="F932" s="16">
        <f ca="1" t="shared" si="91"/>
        <v>0</v>
      </c>
      <c r="G932" s="16">
        <f ca="1" t="shared" si="90"/>
        <v>0</v>
      </c>
    </row>
    <row r="933" spans="2:7">
      <c r="B933" s="17" t="str">
        <f t="shared" si="89"/>
        <v>5/2027</v>
      </c>
      <c r="C933" s="18">
        <f t="shared" si="92"/>
        <v>46516</v>
      </c>
      <c r="D933" s="18" t="str">
        <f t="shared" si="93"/>
        <v>09/05/2027 a 15/05/2027</v>
      </c>
      <c r="E933" s="16">
        <f t="shared" si="88"/>
        <v>4452</v>
      </c>
      <c r="F933" s="16">
        <f ca="1" t="shared" si="91"/>
        <v>0</v>
      </c>
      <c r="G933" s="16">
        <f ca="1" t="shared" si="90"/>
        <v>0</v>
      </c>
    </row>
    <row r="934" spans="2:7">
      <c r="B934" s="17" t="str">
        <f t="shared" si="89"/>
        <v>5/2027</v>
      </c>
      <c r="C934" s="18">
        <f t="shared" si="92"/>
        <v>46516</v>
      </c>
      <c r="D934" s="18" t="str">
        <f t="shared" si="93"/>
        <v>09/05/2027 a 15/05/2027</v>
      </c>
      <c r="E934" s="16">
        <f t="shared" si="88"/>
        <v>4454</v>
      </c>
      <c r="F934" s="16">
        <f ca="1" t="shared" si="91"/>
        <v>0</v>
      </c>
      <c r="G934" s="16">
        <f ca="1" t="shared" si="90"/>
        <v>0</v>
      </c>
    </row>
    <row r="935" spans="2:7">
      <c r="B935" s="17" t="str">
        <f t="shared" si="89"/>
        <v>5/2027</v>
      </c>
      <c r="C935" s="18">
        <f t="shared" si="92"/>
        <v>46523</v>
      </c>
      <c r="D935" s="18" t="str">
        <f t="shared" si="93"/>
        <v>16/05/2027 a 22/05/2027</v>
      </c>
      <c r="E935" s="16">
        <f>E930+24</f>
        <v>4470</v>
      </c>
      <c r="F935" s="16">
        <f ca="1" t="shared" si="91"/>
        <v>0</v>
      </c>
      <c r="G935" s="16">
        <f ca="1" t="shared" si="90"/>
        <v>0</v>
      </c>
    </row>
    <row r="936" spans="2:7">
      <c r="B936" s="17" t="str">
        <f t="shared" si="89"/>
        <v>5/2027</v>
      </c>
      <c r="C936" s="18">
        <f t="shared" si="92"/>
        <v>46523</v>
      </c>
      <c r="D936" s="18" t="str">
        <f t="shared" si="93"/>
        <v>16/05/2027 a 22/05/2027</v>
      </c>
      <c r="E936" s="16">
        <f t="shared" ref="E936:E999" si="94">E935+2</f>
        <v>4472</v>
      </c>
      <c r="F936" s="16">
        <f ca="1" t="shared" si="91"/>
        <v>0</v>
      </c>
      <c r="G936" s="16">
        <f ca="1" t="shared" si="90"/>
        <v>0</v>
      </c>
    </row>
    <row r="937" spans="2:7">
      <c r="B937" s="17" t="str">
        <f t="shared" si="89"/>
        <v>5/2027</v>
      </c>
      <c r="C937" s="18">
        <f t="shared" si="92"/>
        <v>46523</v>
      </c>
      <c r="D937" s="18" t="str">
        <f t="shared" si="93"/>
        <v>16/05/2027 a 22/05/2027</v>
      </c>
      <c r="E937" s="16">
        <f t="shared" si="94"/>
        <v>4474</v>
      </c>
      <c r="F937" s="16">
        <f ca="1" t="shared" si="91"/>
        <v>0</v>
      </c>
      <c r="G937" s="16">
        <f ca="1" t="shared" si="90"/>
        <v>0</v>
      </c>
    </row>
    <row r="938" spans="2:7">
      <c r="B938" s="17" t="str">
        <f t="shared" si="89"/>
        <v>5/2027</v>
      </c>
      <c r="C938" s="18">
        <f t="shared" si="92"/>
        <v>46523</v>
      </c>
      <c r="D938" s="18" t="str">
        <f t="shared" si="93"/>
        <v>16/05/2027 a 22/05/2027</v>
      </c>
      <c r="E938" s="16">
        <f t="shared" si="94"/>
        <v>4476</v>
      </c>
      <c r="F938" s="16">
        <f ca="1" t="shared" si="91"/>
        <v>0</v>
      </c>
      <c r="G938" s="16">
        <f ca="1" t="shared" si="90"/>
        <v>0</v>
      </c>
    </row>
    <row r="939" spans="2:7">
      <c r="B939" s="17" t="str">
        <f t="shared" si="89"/>
        <v>5/2027</v>
      </c>
      <c r="C939" s="18">
        <f t="shared" si="92"/>
        <v>46523</v>
      </c>
      <c r="D939" s="18" t="str">
        <f t="shared" si="93"/>
        <v>16/05/2027 a 22/05/2027</v>
      </c>
      <c r="E939" s="16">
        <f t="shared" si="94"/>
        <v>4478</v>
      </c>
      <c r="F939" s="16">
        <f ca="1" t="shared" si="91"/>
        <v>0</v>
      </c>
      <c r="G939" s="16">
        <f ca="1" t="shared" si="90"/>
        <v>0</v>
      </c>
    </row>
    <row r="940" spans="2:7">
      <c r="B940" s="17" t="str">
        <f t="shared" si="89"/>
        <v>5/2027</v>
      </c>
      <c r="C940" s="18">
        <f t="shared" si="92"/>
        <v>46530</v>
      </c>
      <c r="D940" s="18" t="str">
        <f t="shared" si="93"/>
        <v>23/05/2027 a 29/05/2027</v>
      </c>
      <c r="E940" s="16">
        <f>E935+24</f>
        <v>4494</v>
      </c>
      <c r="F940" s="16">
        <f ca="1" t="shared" si="91"/>
        <v>0</v>
      </c>
      <c r="G940" s="16">
        <f ca="1" t="shared" si="90"/>
        <v>0</v>
      </c>
    </row>
    <row r="941" spans="2:7">
      <c r="B941" s="17" t="str">
        <f t="shared" si="89"/>
        <v>5/2027</v>
      </c>
      <c r="C941" s="18">
        <f t="shared" si="92"/>
        <v>46530</v>
      </c>
      <c r="D941" s="18" t="str">
        <f t="shared" si="93"/>
        <v>23/05/2027 a 29/05/2027</v>
      </c>
      <c r="E941" s="16">
        <f t="shared" si="94"/>
        <v>4496</v>
      </c>
      <c r="F941" s="16">
        <f ca="1" t="shared" si="91"/>
        <v>0</v>
      </c>
      <c r="G941" s="16">
        <f ca="1" t="shared" si="90"/>
        <v>0</v>
      </c>
    </row>
    <row r="942" spans="2:7">
      <c r="B942" s="17" t="str">
        <f t="shared" si="89"/>
        <v>5/2027</v>
      </c>
      <c r="C942" s="18">
        <f t="shared" si="92"/>
        <v>46530</v>
      </c>
      <c r="D942" s="18" t="str">
        <f t="shared" si="93"/>
        <v>23/05/2027 a 29/05/2027</v>
      </c>
      <c r="E942" s="16">
        <f t="shared" si="94"/>
        <v>4498</v>
      </c>
      <c r="F942" s="16">
        <f ca="1" t="shared" si="91"/>
        <v>0</v>
      </c>
      <c r="G942" s="16">
        <f ca="1" t="shared" si="90"/>
        <v>0</v>
      </c>
    </row>
    <row r="943" spans="2:7">
      <c r="B943" s="17" t="str">
        <f t="shared" si="89"/>
        <v>5/2027</v>
      </c>
      <c r="C943" s="18">
        <f t="shared" si="92"/>
        <v>46530</v>
      </c>
      <c r="D943" s="18" t="str">
        <f t="shared" si="93"/>
        <v>23/05/2027 a 29/05/2027</v>
      </c>
      <c r="E943" s="16">
        <f t="shared" si="94"/>
        <v>4500</v>
      </c>
      <c r="F943" s="16">
        <f ca="1" t="shared" si="91"/>
        <v>0</v>
      </c>
      <c r="G943" s="16">
        <f ca="1" t="shared" si="90"/>
        <v>0</v>
      </c>
    </row>
    <row r="944" spans="2:7">
      <c r="B944" s="17" t="str">
        <f t="shared" si="89"/>
        <v>5/2027</v>
      </c>
      <c r="C944" s="18">
        <f t="shared" si="92"/>
        <v>46530</v>
      </c>
      <c r="D944" s="18" t="str">
        <f t="shared" si="93"/>
        <v>23/05/2027 a 29/05/2027</v>
      </c>
      <c r="E944" s="16">
        <f t="shared" si="94"/>
        <v>4502</v>
      </c>
      <c r="F944" s="16">
        <f ca="1" t="shared" si="91"/>
        <v>0</v>
      </c>
      <c r="G944" s="16">
        <f ca="1" t="shared" si="90"/>
        <v>0</v>
      </c>
    </row>
    <row r="945" spans="2:7">
      <c r="B945" s="17" t="str">
        <f t="shared" si="89"/>
        <v>5/2027</v>
      </c>
      <c r="C945" s="18">
        <f t="shared" si="92"/>
        <v>46537</v>
      </c>
      <c r="D945" s="18" t="str">
        <f t="shared" si="93"/>
        <v>30/05/2027 a 05/06/2027</v>
      </c>
      <c r="E945" s="16">
        <f>E940+24</f>
        <v>4518</v>
      </c>
      <c r="F945" s="16">
        <f ca="1" t="shared" si="91"/>
        <v>0</v>
      </c>
      <c r="G945" s="16">
        <f ca="1" t="shared" si="90"/>
        <v>0</v>
      </c>
    </row>
    <row r="946" spans="2:7">
      <c r="B946" s="17" t="str">
        <f t="shared" si="89"/>
        <v>5/2027</v>
      </c>
      <c r="C946" s="18">
        <f t="shared" si="92"/>
        <v>46537</v>
      </c>
      <c r="D946" s="18" t="str">
        <f t="shared" si="93"/>
        <v>30/05/2027 a 05/06/2027</v>
      </c>
      <c r="E946" s="16">
        <f t="shared" si="94"/>
        <v>4520</v>
      </c>
      <c r="F946" s="16">
        <f ca="1" t="shared" si="91"/>
        <v>0</v>
      </c>
      <c r="G946" s="16">
        <f ca="1" t="shared" si="90"/>
        <v>0</v>
      </c>
    </row>
    <row r="947" spans="2:7">
      <c r="B947" s="17" t="str">
        <f t="shared" si="89"/>
        <v>5/2027</v>
      </c>
      <c r="C947" s="18">
        <f t="shared" si="92"/>
        <v>46537</v>
      </c>
      <c r="D947" s="18" t="str">
        <f t="shared" si="93"/>
        <v>30/05/2027 a 05/06/2027</v>
      </c>
      <c r="E947" s="16">
        <f t="shared" si="94"/>
        <v>4522</v>
      </c>
      <c r="F947" s="16">
        <f ca="1" t="shared" si="91"/>
        <v>0</v>
      </c>
      <c r="G947" s="16">
        <f ca="1" t="shared" si="90"/>
        <v>0</v>
      </c>
    </row>
    <row r="948" spans="2:7">
      <c r="B948" s="17" t="str">
        <f t="shared" si="89"/>
        <v>5/2027</v>
      </c>
      <c r="C948" s="18">
        <f t="shared" si="92"/>
        <v>46537</v>
      </c>
      <c r="D948" s="18" t="str">
        <f t="shared" si="93"/>
        <v>30/05/2027 a 05/06/2027</v>
      </c>
      <c r="E948" s="16">
        <f t="shared" si="94"/>
        <v>4524</v>
      </c>
      <c r="F948" s="16">
        <f ca="1" t="shared" si="91"/>
        <v>0</v>
      </c>
      <c r="G948" s="16">
        <f ca="1" t="shared" si="90"/>
        <v>0</v>
      </c>
    </row>
    <row r="949" spans="2:7">
      <c r="B949" s="17" t="str">
        <f t="shared" si="89"/>
        <v>5/2027</v>
      </c>
      <c r="C949" s="18">
        <f t="shared" si="92"/>
        <v>46537</v>
      </c>
      <c r="D949" s="18" t="str">
        <f t="shared" si="93"/>
        <v>30/05/2027 a 05/06/2027</v>
      </c>
      <c r="E949" s="16">
        <f t="shared" si="94"/>
        <v>4526</v>
      </c>
      <c r="F949" s="16">
        <f ca="1" t="shared" si="91"/>
        <v>0</v>
      </c>
      <c r="G949" s="16">
        <f ca="1" t="shared" si="90"/>
        <v>0</v>
      </c>
    </row>
    <row r="950" spans="2:7">
      <c r="B950" s="17" t="str">
        <f t="shared" si="89"/>
        <v>6/2027</v>
      </c>
      <c r="C950" s="18">
        <f t="shared" si="92"/>
        <v>46544</v>
      </c>
      <c r="D950" s="18" t="str">
        <f t="shared" si="93"/>
        <v>06/06/2027 a 12/06/2027</v>
      </c>
      <c r="E950" s="16">
        <f>E945+24</f>
        <v>4542</v>
      </c>
      <c r="F950" s="16">
        <f ca="1" t="shared" si="91"/>
        <v>0</v>
      </c>
      <c r="G950" s="16">
        <f ca="1" t="shared" si="90"/>
        <v>0</v>
      </c>
    </row>
    <row r="951" spans="2:7">
      <c r="B951" s="17" t="str">
        <f t="shared" si="89"/>
        <v>6/2027</v>
      </c>
      <c r="C951" s="18">
        <f t="shared" si="92"/>
        <v>46544</v>
      </c>
      <c r="D951" s="18" t="str">
        <f t="shared" si="93"/>
        <v>06/06/2027 a 12/06/2027</v>
      </c>
      <c r="E951" s="16">
        <f t="shared" si="94"/>
        <v>4544</v>
      </c>
      <c r="F951" s="16">
        <f ca="1" t="shared" si="91"/>
        <v>0</v>
      </c>
      <c r="G951" s="16">
        <f ca="1" t="shared" si="90"/>
        <v>0</v>
      </c>
    </row>
    <row r="952" spans="2:7">
      <c r="B952" s="17" t="str">
        <f t="shared" si="89"/>
        <v>6/2027</v>
      </c>
      <c r="C952" s="18">
        <f t="shared" si="92"/>
        <v>46544</v>
      </c>
      <c r="D952" s="18" t="str">
        <f t="shared" si="93"/>
        <v>06/06/2027 a 12/06/2027</v>
      </c>
      <c r="E952" s="16">
        <f t="shared" si="94"/>
        <v>4546</v>
      </c>
      <c r="F952" s="16">
        <f ca="1" t="shared" si="91"/>
        <v>0</v>
      </c>
      <c r="G952" s="16">
        <f ca="1" t="shared" si="90"/>
        <v>0</v>
      </c>
    </row>
    <row r="953" spans="2:7">
      <c r="B953" s="17" t="str">
        <f t="shared" ref="B953:B1016" si="95">MONTH(C953)&amp;"/"&amp;YEAR(C953)</f>
        <v>6/2027</v>
      </c>
      <c r="C953" s="18">
        <f t="shared" si="92"/>
        <v>46544</v>
      </c>
      <c r="D953" s="18" t="str">
        <f t="shared" si="93"/>
        <v>06/06/2027 a 12/06/2027</v>
      </c>
      <c r="E953" s="16">
        <f t="shared" si="94"/>
        <v>4548</v>
      </c>
      <c r="F953" s="16">
        <f ca="1" t="shared" si="91"/>
        <v>0</v>
      </c>
      <c r="G953" s="16">
        <f ca="1" t="shared" ref="G953:G1016" si="96">INDIRECT("'Diário'!J"&amp;E953)</f>
        <v>0</v>
      </c>
    </row>
    <row r="954" spans="2:7">
      <c r="B954" s="17" t="str">
        <f t="shared" si="95"/>
        <v>6/2027</v>
      </c>
      <c r="C954" s="18">
        <f t="shared" si="92"/>
        <v>46544</v>
      </c>
      <c r="D954" s="18" t="str">
        <f t="shared" si="93"/>
        <v>06/06/2027 a 12/06/2027</v>
      </c>
      <c r="E954" s="16">
        <f t="shared" si="94"/>
        <v>4550</v>
      </c>
      <c r="F954" s="16">
        <f ca="1" t="shared" si="91"/>
        <v>0</v>
      </c>
      <c r="G954" s="16">
        <f ca="1" t="shared" si="96"/>
        <v>0</v>
      </c>
    </row>
    <row r="955" spans="2:7">
      <c r="B955" s="17" t="str">
        <f t="shared" si="95"/>
        <v>6/2027</v>
      </c>
      <c r="C955" s="18">
        <f t="shared" si="92"/>
        <v>46551</v>
      </c>
      <c r="D955" s="18" t="str">
        <f t="shared" si="93"/>
        <v>13/06/2027 a 19/06/2027</v>
      </c>
      <c r="E955" s="16">
        <f>E950+24</f>
        <v>4566</v>
      </c>
      <c r="F955" s="16">
        <f ca="1" t="shared" si="91"/>
        <v>0</v>
      </c>
      <c r="G955" s="16">
        <f ca="1" t="shared" si="96"/>
        <v>0</v>
      </c>
    </row>
    <row r="956" spans="2:7">
      <c r="B956" s="17" t="str">
        <f t="shared" si="95"/>
        <v>6/2027</v>
      </c>
      <c r="C956" s="18">
        <f t="shared" si="92"/>
        <v>46551</v>
      </c>
      <c r="D956" s="18" t="str">
        <f t="shared" si="93"/>
        <v>13/06/2027 a 19/06/2027</v>
      </c>
      <c r="E956" s="16">
        <f t="shared" si="94"/>
        <v>4568</v>
      </c>
      <c r="F956" s="16">
        <f ca="1" t="shared" si="91"/>
        <v>0</v>
      </c>
      <c r="G956" s="16">
        <f ca="1" t="shared" si="96"/>
        <v>0</v>
      </c>
    </row>
    <row r="957" spans="2:7">
      <c r="B957" s="17" t="str">
        <f t="shared" si="95"/>
        <v>6/2027</v>
      </c>
      <c r="C957" s="18">
        <f t="shared" si="92"/>
        <v>46551</v>
      </c>
      <c r="D957" s="18" t="str">
        <f t="shared" si="93"/>
        <v>13/06/2027 a 19/06/2027</v>
      </c>
      <c r="E957" s="16">
        <f t="shared" si="94"/>
        <v>4570</v>
      </c>
      <c r="F957" s="16">
        <f ca="1" t="shared" si="91"/>
        <v>0</v>
      </c>
      <c r="G957" s="16">
        <f ca="1" t="shared" si="96"/>
        <v>0</v>
      </c>
    </row>
    <row r="958" spans="2:7">
      <c r="B958" s="17" t="str">
        <f t="shared" si="95"/>
        <v>6/2027</v>
      </c>
      <c r="C958" s="18">
        <f t="shared" si="92"/>
        <v>46551</v>
      </c>
      <c r="D958" s="18" t="str">
        <f t="shared" si="93"/>
        <v>13/06/2027 a 19/06/2027</v>
      </c>
      <c r="E958" s="16">
        <f t="shared" si="94"/>
        <v>4572</v>
      </c>
      <c r="F958" s="16">
        <f ca="1" t="shared" ref="F958:F1021" si="97">INDIRECT("Diário!I"&amp;E958)</f>
        <v>0</v>
      </c>
      <c r="G958" s="16">
        <f ca="1" t="shared" si="96"/>
        <v>0</v>
      </c>
    </row>
    <row r="959" spans="2:7">
      <c r="B959" s="17" t="str">
        <f t="shared" si="95"/>
        <v>6/2027</v>
      </c>
      <c r="C959" s="18">
        <f t="shared" si="92"/>
        <v>46551</v>
      </c>
      <c r="D959" s="18" t="str">
        <f t="shared" si="93"/>
        <v>13/06/2027 a 19/06/2027</v>
      </c>
      <c r="E959" s="16">
        <f t="shared" si="94"/>
        <v>4574</v>
      </c>
      <c r="F959" s="16">
        <f ca="1" t="shared" si="97"/>
        <v>0</v>
      </c>
      <c r="G959" s="16">
        <f ca="1" t="shared" si="96"/>
        <v>0</v>
      </c>
    </row>
    <row r="960" spans="2:7">
      <c r="B960" s="17" t="str">
        <f t="shared" si="95"/>
        <v>6/2027</v>
      </c>
      <c r="C960" s="18">
        <f t="shared" si="92"/>
        <v>46558</v>
      </c>
      <c r="D960" s="18" t="str">
        <f t="shared" si="93"/>
        <v>20/06/2027 a 26/06/2027</v>
      </c>
      <c r="E960" s="16">
        <f>E955+24</f>
        <v>4590</v>
      </c>
      <c r="F960" s="16">
        <f ca="1" t="shared" si="97"/>
        <v>0</v>
      </c>
      <c r="G960" s="16">
        <f ca="1" t="shared" si="96"/>
        <v>0</v>
      </c>
    </row>
    <row r="961" spans="2:7">
      <c r="B961" s="17" t="str">
        <f t="shared" si="95"/>
        <v>6/2027</v>
      </c>
      <c r="C961" s="18">
        <f t="shared" si="92"/>
        <v>46558</v>
      </c>
      <c r="D961" s="18" t="str">
        <f t="shared" si="93"/>
        <v>20/06/2027 a 26/06/2027</v>
      </c>
      <c r="E961" s="16">
        <f t="shared" si="94"/>
        <v>4592</v>
      </c>
      <c r="F961" s="16">
        <f ca="1" t="shared" si="97"/>
        <v>0</v>
      </c>
      <c r="G961" s="16">
        <f ca="1" t="shared" si="96"/>
        <v>0</v>
      </c>
    </row>
    <row r="962" spans="2:7">
      <c r="B962" s="17" t="str">
        <f t="shared" si="95"/>
        <v>6/2027</v>
      </c>
      <c r="C962" s="18">
        <f t="shared" si="92"/>
        <v>46558</v>
      </c>
      <c r="D962" s="18" t="str">
        <f t="shared" si="93"/>
        <v>20/06/2027 a 26/06/2027</v>
      </c>
      <c r="E962" s="16">
        <f t="shared" si="94"/>
        <v>4594</v>
      </c>
      <c r="F962" s="16">
        <f ca="1" t="shared" si="97"/>
        <v>0</v>
      </c>
      <c r="G962" s="16">
        <f ca="1" t="shared" si="96"/>
        <v>0</v>
      </c>
    </row>
    <row r="963" spans="2:7">
      <c r="B963" s="17" t="str">
        <f t="shared" si="95"/>
        <v>6/2027</v>
      </c>
      <c r="C963" s="18">
        <f t="shared" si="92"/>
        <v>46558</v>
      </c>
      <c r="D963" s="18" t="str">
        <f t="shared" si="93"/>
        <v>20/06/2027 a 26/06/2027</v>
      </c>
      <c r="E963" s="16">
        <f t="shared" si="94"/>
        <v>4596</v>
      </c>
      <c r="F963" s="16">
        <f ca="1" t="shared" si="97"/>
        <v>0</v>
      </c>
      <c r="G963" s="16">
        <f ca="1" t="shared" si="96"/>
        <v>0</v>
      </c>
    </row>
    <row r="964" spans="2:7">
      <c r="B964" s="17" t="str">
        <f t="shared" si="95"/>
        <v>6/2027</v>
      </c>
      <c r="C964" s="18">
        <f t="shared" si="92"/>
        <v>46558</v>
      </c>
      <c r="D964" s="18" t="str">
        <f t="shared" si="93"/>
        <v>20/06/2027 a 26/06/2027</v>
      </c>
      <c r="E964" s="16">
        <f t="shared" si="94"/>
        <v>4598</v>
      </c>
      <c r="F964" s="16">
        <f ca="1" t="shared" si="97"/>
        <v>0</v>
      </c>
      <c r="G964" s="16">
        <f ca="1" t="shared" si="96"/>
        <v>0</v>
      </c>
    </row>
    <row r="965" spans="2:7">
      <c r="B965" s="17" t="str">
        <f t="shared" si="95"/>
        <v>6/2027</v>
      </c>
      <c r="C965" s="18">
        <f t="shared" si="92"/>
        <v>46565</v>
      </c>
      <c r="D965" s="18" t="str">
        <f t="shared" si="93"/>
        <v>27/06/2027 a 03/07/2027</v>
      </c>
      <c r="E965" s="16">
        <f>E960+24</f>
        <v>4614</v>
      </c>
      <c r="F965" s="16">
        <f ca="1" t="shared" si="97"/>
        <v>0</v>
      </c>
      <c r="G965" s="16">
        <f ca="1" t="shared" si="96"/>
        <v>0</v>
      </c>
    </row>
    <row r="966" spans="2:7">
      <c r="B966" s="17" t="str">
        <f t="shared" si="95"/>
        <v>6/2027</v>
      </c>
      <c r="C966" s="18">
        <f t="shared" si="92"/>
        <v>46565</v>
      </c>
      <c r="D966" s="18" t="str">
        <f t="shared" si="93"/>
        <v>27/06/2027 a 03/07/2027</v>
      </c>
      <c r="E966" s="16">
        <f t="shared" si="94"/>
        <v>4616</v>
      </c>
      <c r="F966" s="16">
        <f ca="1" t="shared" si="97"/>
        <v>0</v>
      </c>
      <c r="G966" s="16">
        <f ca="1" t="shared" si="96"/>
        <v>0</v>
      </c>
    </row>
    <row r="967" spans="2:7">
      <c r="B967" s="17" t="str">
        <f t="shared" si="95"/>
        <v>6/2027</v>
      </c>
      <c r="C967" s="18">
        <f t="shared" si="92"/>
        <v>46565</v>
      </c>
      <c r="D967" s="18" t="str">
        <f t="shared" si="93"/>
        <v>27/06/2027 a 03/07/2027</v>
      </c>
      <c r="E967" s="16">
        <f t="shared" si="94"/>
        <v>4618</v>
      </c>
      <c r="F967" s="16">
        <f ca="1" t="shared" si="97"/>
        <v>0</v>
      </c>
      <c r="G967" s="16">
        <f ca="1" t="shared" si="96"/>
        <v>0</v>
      </c>
    </row>
    <row r="968" spans="2:7">
      <c r="B968" s="17" t="str">
        <f t="shared" si="95"/>
        <v>6/2027</v>
      </c>
      <c r="C968" s="18">
        <f t="shared" si="92"/>
        <v>46565</v>
      </c>
      <c r="D968" s="18" t="str">
        <f t="shared" si="93"/>
        <v>27/06/2027 a 03/07/2027</v>
      </c>
      <c r="E968" s="16">
        <f t="shared" si="94"/>
        <v>4620</v>
      </c>
      <c r="F968" s="16">
        <f ca="1" t="shared" si="97"/>
        <v>0</v>
      </c>
      <c r="G968" s="16">
        <f ca="1" t="shared" si="96"/>
        <v>0</v>
      </c>
    </row>
    <row r="969" spans="2:7">
      <c r="B969" s="17" t="str">
        <f t="shared" si="95"/>
        <v>6/2027</v>
      </c>
      <c r="C969" s="18">
        <f t="shared" si="92"/>
        <v>46565</v>
      </c>
      <c r="D969" s="18" t="str">
        <f t="shared" si="93"/>
        <v>27/06/2027 a 03/07/2027</v>
      </c>
      <c r="E969" s="16">
        <f t="shared" si="94"/>
        <v>4622</v>
      </c>
      <c r="F969" s="16">
        <f ca="1" t="shared" si="97"/>
        <v>0</v>
      </c>
      <c r="G969" s="16">
        <f ca="1" t="shared" si="96"/>
        <v>0</v>
      </c>
    </row>
    <row r="970" spans="2:7">
      <c r="B970" s="17" t="str">
        <f t="shared" si="95"/>
        <v>7/2027</v>
      </c>
      <c r="C970" s="18">
        <f t="shared" si="92"/>
        <v>46572</v>
      </c>
      <c r="D970" s="18" t="str">
        <f t="shared" si="93"/>
        <v>04/07/2027 a 10/07/2027</v>
      </c>
      <c r="E970" s="16">
        <f>E965+24</f>
        <v>4638</v>
      </c>
      <c r="F970" s="16">
        <f ca="1" t="shared" si="97"/>
        <v>0</v>
      </c>
      <c r="G970" s="16">
        <f ca="1" t="shared" si="96"/>
        <v>0</v>
      </c>
    </row>
    <row r="971" spans="2:7">
      <c r="B971" s="17" t="str">
        <f t="shared" si="95"/>
        <v>7/2027</v>
      </c>
      <c r="C971" s="18">
        <f t="shared" si="92"/>
        <v>46572</v>
      </c>
      <c r="D971" s="18" t="str">
        <f t="shared" si="93"/>
        <v>04/07/2027 a 10/07/2027</v>
      </c>
      <c r="E971" s="16">
        <f t="shared" si="94"/>
        <v>4640</v>
      </c>
      <c r="F971" s="16">
        <f ca="1" t="shared" si="97"/>
        <v>0</v>
      </c>
      <c r="G971" s="16">
        <f ca="1" t="shared" si="96"/>
        <v>0</v>
      </c>
    </row>
    <row r="972" spans="2:7">
      <c r="B972" s="17" t="str">
        <f t="shared" si="95"/>
        <v>7/2027</v>
      </c>
      <c r="C972" s="18">
        <f t="shared" si="92"/>
        <v>46572</v>
      </c>
      <c r="D972" s="18" t="str">
        <f t="shared" si="93"/>
        <v>04/07/2027 a 10/07/2027</v>
      </c>
      <c r="E972" s="16">
        <f t="shared" si="94"/>
        <v>4642</v>
      </c>
      <c r="F972" s="16">
        <f ca="1" t="shared" si="97"/>
        <v>0</v>
      </c>
      <c r="G972" s="16">
        <f ca="1" t="shared" si="96"/>
        <v>0</v>
      </c>
    </row>
    <row r="973" spans="2:7">
      <c r="B973" s="17" t="str">
        <f t="shared" si="95"/>
        <v>7/2027</v>
      </c>
      <c r="C973" s="18">
        <f t="shared" si="92"/>
        <v>46572</v>
      </c>
      <c r="D973" s="18" t="str">
        <f t="shared" si="93"/>
        <v>04/07/2027 a 10/07/2027</v>
      </c>
      <c r="E973" s="16">
        <f t="shared" si="94"/>
        <v>4644</v>
      </c>
      <c r="F973" s="16">
        <f ca="1" t="shared" si="97"/>
        <v>0</v>
      </c>
      <c r="G973" s="16">
        <f ca="1" t="shared" si="96"/>
        <v>0</v>
      </c>
    </row>
    <row r="974" spans="2:7">
      <c r="B974" s="17" t="str">
        <f t="shared" si="95"/>
        <v>7/2027</v>
      </c>
      <c r="C974" s="18">
        <f t="shared" si="92"/>
        <v>46572</v>
      </c>
      <c r="D974" s="18" t="str">
        <f t="shared" si="93"/>
        <v>04/07/2027 a 10/07/2027</v>
      </c>
      <c r="E974" s="16">
        <f t="shared" si="94"/>
        <v>4646</v>
      </c>
      <c r="F974" s="16">
        <f ca="1" t="shared" si="97"/>
        <v>0</v>
      </c>
      <c r="G974" s="16">
        <f ca="1" t="shared" si="96"/>
        <v>0</v>
      </c>
    </row>
    <row r="975" spans="2:7">
      <c r="B975" s="17" t="str">
        <f t="shared" si="95"/>
        <v>7/2027</v>
      </c>
      <c r="C975" s="18">
        <f t="shared" si="92"/>
        <v>46579</v>
      </c>
      <c r="D975" s="18" t="str">
        <f t="shared" si="93"/>
        <v>11/07/2027 a 17/07/2027</v>
      </c>
      <c r="E975" s="16">
        <f>E970+24</f>
        <v>4662</v>
      </c>
      <c r="F975" s="16">
        <f ca="1" t="shared" si="97"/>
        <v>0</v>
      </c>
      <c r="G975" s="16">
        <f ca="1" t="shared" si="96"/>
        <v>0</v>
      </c>
    </row>
    <row r="976" spans="2:7">
      <c r="B976" s="17" t="str">
        <f t="shared" si="95"/>
        <v>7/2027</v>
      </c>
      <c r="C976" s="18">
        <f t="shared" si="92"/>
        <v>46579</v>
      </c>
      <c r="D976" s="18" t="str">
        <f t="shared" si="93"/>
        <v>11/07/2027 a 17/07/2027</v>
      </c>
      <c r="E976" s="16">
        <f t="shared" si="94"/>
        <v>4664</v>
      </c>
      <c r="F976" s="16">
        <f ca="1" t="shared" si="97"/>
        <v>0</v>
      </c>
      <c r="G976" s="16">
        <f ca="1" t="shared" si="96"/>
        <v>0</v>
      </c>
    </row>
    <row r="977" spans="2:7">
      <c r="B977" s="17" t="str">
        <f t="shared" si="95"/>
        <v>7/2027</v>
      </c>
      <c r="C977" s="18">
        <f t="shared" si="92"/>
        <v>46579</v>
      </c>
      <c r="D977" s="18" t="str">
        <f t="shared" si="93"/>
        <v>11/07/2027 a 17/07/2027</v>
      </c>
      <c r="E977" s="16">
        <f t="shared" si="94"/>
        <v>4666</v>
      </c>
      <c r="F977" s="16">
        <f ca="1" t="shared" si="97"/>
        <v>0</v>
      </c>
      <c r="G977" s="16">
        <f ca="1" t="shared" si="96"/>
        <v>0</v>
      </c>
    </row>
    <row r="978" spans="2:7">
      <c r="B978" s="17" t="str">
        <f t="shared" si="95"/>
        <v>7/2027</v>
      </c>
      <c r="C978" s="18">
        <f t="shared" ref="C978:C1041" si="98">C973+7</f>
        <v>46579</v>
      </c>
      <c r="D978" s="18" t="str">
        <f t="shared" si="93"/>
        <v>11/07/2027 a 17/07/2027</v>
      </c>
      <c r="E978" s="16">
        <f t="shared" si="94"/>
        <v>4668</v>
      </c>
      <c r="F978" s="16">
        <f ca="1" t="shared" si="97"/>
        <v>0</v>
      </c>
      <c r="G978" s="16">
        <f ca="1" t="shared" si="96"/>
        <v>0</v>
      </c>
    </row>
    <row r="979" spans="2:7">
      <c r="B979" s="17" t="str">
        <f t="shared" si="95"/>
        <v>7/2027</v>
      </c>
      <c r="C979" s="18">
        <f t="shared" si="98"/>
        <v>46579</v>
      </c>
      <c r="D979" s="18" t="str">
        <f t="shared" ref="D979:D1042" si="99">TEXT((C979),"DD/MM/AAAA")&amp;" a "&amp;TEXT((C979+6),"DD/MM/AAAA")</f>
        <v>11/07/2027 a 17/07/2027</v>
      </c>
      <c r="E979" s="16">
        <f t="shared" si="94"/>
        <v>4670</v>
      </c>
      <c r="F979" s="16">
        <f ca="1" t="shared" si="97"/>
        <v>0</v>
      </c>
      <c r="G979" s="16">
        <f ca="1" t="shared" si="96"/>
        <v>0</v>
      </c>
    </row>
    <row r="980" spans="2:7">
      <c r="B980" s="17" t="str">
        <f t="shared" si="95"/>
        <v>7/2027</v>
      </c>
      <c r="C980" s="18">
        <f t="shared" si="98"/>
        <v>46586</v>
      </c>
      <c r="D980" s="18" t="str">
        <f t="shared" si="99"/>
        <v>18/07/2027 a 24/07/2027</v>
      </c>
      <c r="E980" s="16">
        <f>E975+24</f>
        <v>4686</v>
      </c>
      <c r="F980" s="16">
        <f ca="1" t="shared" si="97"/>
        <v>0</v>
      </c>
      <c r="G980" s="16">
        <f ca="1" t="shared" si="96"/>
        <v>0</v>
      </c>
    </row>
    <row r="981" spans="2:7">
      <c r="B981" s="17" t="str">
        <f t="shared" si="95"/>
        <v>7/2027</v>
      </c>
      <c r="C981" s="18">
        <f t="shared" si="98"/>
        <v>46586</v>
      </c>
      <c r="D981" s="18" t="str">
        <f t="shared" si="99"/>
        <v>18/07/2027 a 24/07/2027</v>
      </c>
      <c r="E981" s="16">
        <f t="shared" si="94"/>
        <v>4688</v>
      </c>
      <c r="F981" s="16">
        <f ca="1" t="shared" si="97"/>
        <v>0</v>
      </c>
      <c r="G981" s="16">
        <f ca="1" t="shared" si="96"/>
        <v>0</v>
      </c>
    </row>
    <row r="982" spans="2:7">
      <c r="B982" s="17" t="str">
        <f t="shared" si="95"/>
        <v>7/2027</v>
      </c>
      <c r="C982" s="18">
        <f t="shared" si="98"/>
        <v>46586</v>
      </c>
      <c r="D982" s="18" t="str">
        <f t="shared" si="99"/>
        <v>18/07/2027 a 24/07/2027</v>
      </c>
      <c r="E982" s="16">
        <f t="shared" si="94"/>
        <v>4690</v>
      </c>
      <c r="F982" s="16">
        <f ca="1" t="shared" si="97"/>
        <v>0</v>
      </c>
      <c r="G982" s="16">
        <f ca="1" t="shared" si="96"/>
        <v>0</v>
      </c>
    </row>
    <row r="983" spans="2:7">
      <c r="B983" s="17" t="str">
        <f t="shared" si="95"/>
        <v>7/2027</v>
      </c>
      <c r="C983" s="18">
        <f t="shared" si="98"/>
        <v>46586</v>
      </c>
      <c r="D983" s="18" t="str">
        <f t="shared" si="99"/>
        <v>18/07/2027 a 24/07/2027</v>
      </c>
      <c r="E983" s="16">
        <f t="shared" si="94"/>
        <v>4692</v>
      </c>
      <c r="F983" s="16">
        <f ca="1" t="shared" si="97"/>
        <v>0</v>
      </c>
      <c r="G983" s="16">
        <f ca="1" t="shared" si="96"/>
        <v>0</v>
      </c>
    </row>
    <row r="984" spans="2:7">
      <c r="B984" s="17" t="str">
        <f t="shared" si="95"/>
        <v>7/2027</v>
      </c>
      <c r="C984" s="18">
        <f t="shared" si="98"/>
        <v>46586</v>
      </c>
      <c r="D984" s="18" t="str">
        <f t="shared" si="99"/>
        <v>18/07/2027 a 24/07/2027</v>
      </c>
      <c r="E984" s="16">
        <f t="shared" si="94"/>
        <v>4694</v>
      </c>
      <c r="F984" s="16">
        <f ca="1" t="shared" si="97"/>
        <v>0</v>
      </c>
      <c r="G984" s="16">
        <f ca="1" t="shared" si="96"/>
        <v>0</v>
      </c>
    </row>
    <row r="985" spans="2:7">
      <c r="B985" s="17" t="str">
        <f t="shared" si="95"/>
        <v>7/2027</v>
      </c>
      <c r="C985" s="18">
        <f t="shared" si="98"/>
        <v>46593</v>
      </c>
      <c r="D985" s="18" t="str">
        <f t="shared" si="99"/>
        <v>25/07/2027 a 31/07/2027</v>
      </c>
      <c r="E985" s="16">
        <f>E980+24</f>
        <v>4710</v>
      </c>
      <c r="F985" s="16">
        <f ca="1" t="shared" si="97"/>
        <v>0</v>
      </c>
      <c r="G985" s="16">
        <f ca="1" t="shared" si="96"/>
        <v>0</v>
      </c>
    </row>
    <row r="986" spans="2:7">
      <c r="B986" s="17" t="str">
        <f t="shared" si="95"/>
        <v>7/2027</v>
      </c>
      <c r="C986" s="18">
        <f t="shared" si="98"/>
        <v>46593</v>
      </c>
      <c r="D986" s="18" t="str">
        <f t="shared" si="99"/>
        <v>25/07/2027 a 31/07/2027</v>
      </c>
      <c r="E986" s="16">
        <f t="shared" si="94"/>
        <v>4712</v>
      </c>
      <c r="F986" s="16">
        <f ca="1" t="shared" si="97"/>
        <v>0</v>
      </c>
      <c r="G986" s="16">
        <f ca="1" t="shared" si="96"/>
        <v>0</v>
      </c>
    </row>
    <row r="987" spans="2:7">
      <c r="B987" s="17" t="str">
        <f t="shared" si="95"/>
        <v>7/2027</v>
      </c>
      <c r="C987" s="18">
        <f t="shared" si="98"/>
        <v>46593</v>
      </c>
      <c r="D987" s="18" t="str">
        <f t="shared" si="99"/>
        <v>25/07/2027 a 31/07/2027</v>
      </c>
      <c r="E987" s="16">
        <f t="shared" si="94"/>
        <v>4714</v>
      </c>
      <c r="F987" s="16">
        <f ca="1" t="shared" si="97"/>
        <v>0</v>
      </c>
      <c r="G987" s="16">
        <f ca="1" t="shared" si="96"/>
        <v>0</v>
      </c>
    </row>
    <row r="988" spans="2:7">
      <c r="B988" s="17" t="str">
        <f t="shared" si="95"/>
        <v>7/2027</v>
      </c>
      <c r="C988" s="18">
        <f t="shared" si="98"/>
        <v>46593</v>
      </c>
      <c r="D988" s="18" t="str">
        <f t="shared" si="99"/>
        <v>25/07/2027 a 31/07/2027</v>
      </c>
      <c r="E988" s="16">
        <f t="shared" si="94"/>
        <v>4716</v>
      </c>
      <c r="F988" s="16">
        <f ca="1" t="shared" si="97"/>
        <v>0</v>
      </c>
      <c r="G988" s="16">
        <f ca="1" t="shared" si="96"/>
        <v>0</v>
      </c>
    </row>
    <row r="989" spans="2:7">
      <c r="B989" s="17" t="str">
        <f t="shared" si="95"/>
        <v>7/2027</v>
      </c>
      <c r="C989" s="18">
        <f t="shared" si="98"/>
        <v>46593</v>
      </c>
      <c r="D989" s="18" t="str">
        <f t="shared" si="99"/>
        <v>25/07/2027 a 31/07/2027</v>
      </c>
      <c r="E989" s="16">
        <f t="shared" si="94"/>
        <v>4718</v>
      </c>
      <c r="F989" s="16">
        <f ca="1" t="shared" si="97"/>
        <v>0</v>
      </c>
      <c r="G989" s="16">
        <f ca="1" t="shared" si="96"/>
        <v>0</v>
      </c>
    </row>
    <row r="990" spans="2:7">
      <c r="B990" s="17" t="str">
        <f t="shared" si="95"/>
        <v>8/2027</v>
      </c>
      <c r="C990" s="18">
        <f t="shared" si="98"/>
        <v>46600</v>
      </c>
      <c r="D990" s="18" t="str">
        <f t="shared" si="99"/>
        <v>01/08/2027 a 07/08/2027</v>
      </c>
      <c r="E990" s="16">
        <f>E985+24</f>
        <v>4734</v>
      </c>
      <c r="F990" s="16">
        <f ca="1" t="shared" si="97"/>
        <v>0</v>
      </c>
      <c r="G990" s="16">
        <f ca="1" t="shared" si="96"/>
        <v>0</v>
      </c>
    </row>
    <row r="991" spans="2:7">
      <c r="B991" s="17" t="str">
        <f t="shared" si="95"/>
        <v>8/2027</v>
      </c>
      <c r="C991" s="18">
        <f t="shared" si="98"/>
        <v>46600</v>
      </c>
      <c r="D991" s="18" t="str">
        <f t="shared" si="99"/>
        <v>01/08/2027 a 07/08/2027</v>
      </c>
      <c r="E991" s="16">
        <f t="shared" si="94"/>
        <v>4736</v>
      </c>
      <c r="F991" s="16">
        <f ca="1" t="shared" si="97"/>
        <v>0</v>
      </c>
      <c r="G991" s="16">
        <f ca="1" t="shared" si="96"/>
        <v>0</v>
      </c>
    </row>
    <row r="992" spans="2:7">
      <c r="B992" s="17" t="str">
        <f t="shared" si="95"/>
        <v>8/2027</v>
      </c>
      <c r="C992" s="18">
        <f t="shared" si="98"/>
        <v>46600</v>
      </c>
      <c r="D992" s="18" t="str">
        <f t="shared" si="99"/>
        <v>01/08/2027 a 07/08/2027</v>
      </c>
      <c r="E992" s="16">
        <f t="shared" si="94"/>
        <v>4738</v>
      </c>
      <c r="F992" s="16">
        <f ca="1" t="shared" si="97"/>
        <v>0</v>
      </c>
      <c r="G992" s="16">
        <f ca="1" t="shared" si="96"/>
        <v>0</v>
      </c>
    </row>
    <row r="993" spans="2:7">
      <c r="B993" s="17" t="str">
        <f t="shared" si="95"/>
        <v>8/2027</v>
      </c>
      <c r="C993" s="18">
        <f t="shared" si="98"/>
        <v>46600</v>
      </c>
      <c r="D993" s="18" t="str">
        <f t="shared" si="99"/>
        <v>01/08/2027 a 07/08/2027</v>
      </c>
      <c r="E993" s="16">
        <f t="shared" si="94"/>
        <v>4740</v>
      </c>
      <c r="F993" s="16">
        <f ca="1" t="shared" si="97"/>
        <v>0</v>
      </c>
      <c r="G993" s="16">
        <f ca="1" t="shared" si="96"/>
        <v>0</v>
      </c>
    </row>
    <row r="994" spans="2:7">
      <c r="B994" s="17" t="str">
        <f t="shared" si="95"/>
        <v>8/2027</v>
      </c>
      <c r="C994" s="18">
        <f t="shared" si="98"/>
        <v>46600</v>
      </c>
      <c r="D994" s="18" t="str">
        <f t="shared" si="99"/>
        <v>01/08/2027 a 07/08/2027</v>
      </c>
      <c r="E994" s="16">
        <f t="shared" si="94"/>
        <v>4742</v>
      </c>
      <c r="F994" s="16">
        <f ca="1" t="shared" si="97"/>
        <v>0</v>
      </c>
      <c r="G994" s="16">
        <f ca="1" t="shared" si="96"/>
        <v>0</v>
      </c>
    </row>
    <row r="995" spans="2:7">
      <c r="B995" s="17" t="str">
        <f t="shared" si="95"/>
        <v>8/2027</v>
      </c>
      <c r="C995" s="18">
        <f t="shared" si="98"/>
        <v>46607</v>
      </c>
      <c r="D995" s="18" t="str">
        <f t="shared" si="99"/>
        <v>08/08/2027 a 14/08/2027</v>
      </c>
      <c r="E995" s="16">
        <f>E990+24</f>
        <v>4758</v>
      </c>
      <c r="F995" s="16">
        <f ca="1" t="shared" si="97"/>
        <v>0</v>
      </c>
      <c r="G995" s="16">
        <f ca="1" t="shared" si="96"/>
        <v>0</v>
      </c>
    </row>
    <row r="996" spans="2:7">
      <c r="B996" s="17" t="str">
        <f t="shared" si="95"/>
        <v>8/2027</v>
      </c>
      <c r="C996" s="18">
        <f t="shared" si="98"/>
        <v>46607</v>
      </c>
      <c r="D996" s="18" t="str">
        <f t="shared" si="99"/>
        <v>08/08/2027 a 14/08/2027</v>
      </c>
      <c r="E996" s="16">
        <f t="shared" si="94"/>
        <v>4760</v>
      </c>
      <c r="F996" s="16">
        <f ca="1" t="shared" si="97"/>
        <v>0</v>
      </c>
      <c r="G996" s="16">
        <f ca="1" t="shared" si="96"/>
        <v>0</v>
      </c>
    </row>
    <row r="997" spans="2:7">
      <c r="B997" s="17" t="str">
        <f t="shared" si="95"/>
        <v>8/2027</v>
      </c>
      <c r="C997" s="18">
        <f t="shared" si="98"/>
        <v>46607</v>
      </c>
      <c r="D997" s="18" t="str">
        <f t="shared" si="99"/>
        <v>08/08/2027 a 14/08/2027</v>
      </c>
      <c r="E997" s="16">
        <f t="shared" si="94"/>
        <v>4762</v>
      </c>
      <c r="F997" s="16">
        <f ca="1" t="shared" si="97"/>
        <v>0</v>
      </c>
      <c r="G997" s="16">
        <f ca="1" t="shared" si="96"/>
        <v>0</v>
      </c>
    </row>
    <row r="998" spans="2:7">
      <c r="B998" s="17" t="str">
        <f t="shared" si="95"/>
        <v>8/2027</v>
      </c>
      <c r="C998" s="18">
        <f t="shared" si="98"/>
        <v>46607</v>
      </c>
      <c r="D998" s="18" t="str">
        <f t="shared" si="99"/>
        <v>08/08/2027 a 14/08/2027</v>
      </c>
      <c r="E998" s="16">
        <f t="shared" si="94"/>
        <v>4764</v>
      </c>
      <c r="F998" s="16">
        <f ca="1" t="shared" si="97"/>
        <v>0</v>
      </c>
      <c r="G998" s="16">
        <f ca="1" t="shared" si="96"/>
        <v>0</v>
      </c>
    </row>
    <row r="999" spans="2:7">
      <c r="B999" s="17" t="str">
        <f t="shared" si="95"/>
        <v>8/2027</v>
      </c>
      <c r="C999" s="18">
        <f t="shared" si="98"/>
        <v>46607</v>
      </c>
      <c r="D999" s="18" t="str">
        <f t="shared" si="99"/>
        <v>08/08/2027 a 14/08/2027</v>
      </c>
      <c r="E999" s="16">
        <f t="shared" si="94"/>
        <v>4766</v>
      </c>
      <c r="F999" s="16">
        <f ca="1" t="shared" si="97"/>
        <v>0</v>
      </c>
      <c r="G999" s="16">
        <f ca="1" t="shared" si="96"/>
        <v>0</v>
      </c>
    </row>
    <row r="1000" spans="2:7">
      <c r="B1000" s="17" t="str">
        <f t="shared" si="95"/>
        <v>8/2027</v>
      </c>
      <c r="C1000" s="18">
        <f t="shared" si="98"/>
        <v>46614</v>
      </c>
      <c r="D1000" s="18" t="str">
        <f t="shared" si="99"/>
        <v>15/08/2027 a 21/08/2027</v>
      </c>
      <c r="E1000" s="16">
        <f>E995+24</f>
        <v>4782</v>
      </c>
      <c r="F1000" s="16">
        <f ca="1" t="shared" si="97"/>
        <v>0</v>
      </c>
      <c r="G1000" s="16">
        <f ca="1" t="shared" si="96"/>
        <v>0</v>
      </c>
    </row>
    <row r="1001" spans="2:7">
      <c r="B1001" s="17" t="str">
        <f t="shared" si="95"/>
        <v>8/2027</v>
      </c>
      <c r="C1001" s="18">
        <f t="shared" si="98"/>
        <v>46614</v>
      </c>
      <c r="D1001" s="18" t="str">
        <f t="shared" si="99"/>
        <v>15/08/2027 a 21/08/2027</v>
      </c>
      <c r="E1001" s="16">
        <f t="shared" ref="E1001:E1064" si="100">E1000+2</f>
        <v>4784</v>
      </c>
      <c r="F1001" s="16">
        <f ca="1" t="shared" si="97"/>
        <v>0</v>
      </c>
      <c r="G1001" s="16">
        <f ca="1" t="shared" si="96"/>
        <v>0</v>
      </c>
    </row>
    <row r="1002" spans="2:7">
      <c r="B1002" s="17" t="str">
        <f t="shared" si="95"/>
        <v>8/2027</v>
      </c>
      <c r="C1002" s="18">
        <f t="shared" si="98"/>
        <v>46614</v>
      </c>
      <c r="D1002" s="18" t="str">
        <f t="shared" si="99"/>
        <v>15/08/2027 a 21/08/2027</v>
      </c>
      <c r="E1002" s="16">
        <f t="shared" si="100"/>
        <v>4786</v>
      </c>
      <c r="F1002" s="16">
        <f ca="1" t="shared" si="97"/>
        <v>0</v>
      </c>
      <c r="G1002" s="16">
        <f ca="1" t="shared" si="96"/>
        <v>0</v>
      </c>
    </row>
    <row r="1003" spans="2:7">
      <c r="B1003" s="17" t="str">
        <f t="shared" si="95"/>
        <v>8/2027</v>
      </c>
      <c r="C1003" s="18">
        <f t="shared" si="98"/>
        <v>46614</v>
      </c>
      <c r="D1003" s="18" t="str">
        <f t="shared" si="99"/>
        <v>15/08/2027 a 21/08/2027</v>
      </c>
      <c r="E1003" s="16">
        <f t="shared" si="100"/>
        <v>4788</v>
      </c>
      <c r="F1003" s="16">
        <f ca="1" t="shared" si="97"/>
        <v>0</v>
      </c>
      <c r="G1003" s="16">
        <f ca="1" t="shared" si="96"/>
        <v>0</v>
      </c>
    </row>
    <row r="1004" spans="2:7">
      <c r="B1004" s="17" t="str">
        <f t="shared" si="95"/>
        <v>8/2027</v>
      </c>
      <c r="C1004" s="18">
        <f t="shared" si="98"/>
        <v>46614</v>
      </c>
      <c r="D1004" s="18" t="str">
        <f t="shared" si="99"/>
        <v>15/08/2027 a 21/08/2027</v>
      </c>
      <c r="E1004" s="16">
        <f t="shared" si="100"/>
        <v>4790</v>
      </c>
      <c r="F1004" s="16">
        <f ca="1" t="shared" si="97"/>
        <v>0</v>
      </c>
      <c r="G1004" s="16">
        <f ca="1" t="shared" si="96"/>
        <v>0</v>
      </c>
    </row>
    <row r="1005" spans="2:7">
      <c r="B1005" s="17" t="str">
        <f t="shared" si="95"/>
        <v>8/2027</v>
      </c>
      <c r="C1005" s="18">
        <f t="shared" si="98"/>
        <v>46621</v>
      </c>
      <c r="D1005" s="18" t="str">
        <f t="shared" si="99"/>
        <v>22/08/2027 a 28/08/2027</v>
      </c>
      <c r="E1005" s="16">
        <f>E1000+24</f>
        <v>4806</v>
      </c>
      <c r="F1005" s="16">
        <f ca="1" t="shared" si="97"/>
        <v>0</v>
      </c>
      <c r="G1005" s="16">
        <f ca="1" t="shared" si="96"/>
        <v>0</v>
      </c>
    </row>
    <row r="1006" spans="2:7">
      <c r="B1006" s="17" t="str">
        <f t="shared" si="95"/>
        <v>8/2027</v>
      </c>
      <c r="C1006" s="18">
        <f t="shared" si="98"/>
        <v>46621</v>
      </c>
      <c r="D1006" s="18" t="str">
        <f t="shared" si="99"/>
        <v>22/08/2027 a 28/08/2027</v>
      </c>
      <c r="E1006" s="16">
        <f t="shared" si="100"/>
        <v>4808</v>
      </c>
      <c r="F1006" s="16">
        <f ca="1" t="shared" si="97"/>
        <v>0</v>
      </c>
      <c r="G1006" s="16">
        <f ca="1" t="shared" si="96"/>
        <v>0</v>
      </c>
    </row>
    <row r="1007" spans="2:7">
      <c r="B1007" s="17" t="str">
        <f t="shared" si="95"/>
        <v>8/2027</v>
      </c>
      <c r="C1007" s="18">
        <f t="shared" si="98"/>
        <v>46621</v>
      </c>
      <c r="D1007" s="18" t="str">
        <f t="shared" si="99"/>
        <v>22/08/2027 a 28/08/2027</v>
      </c>
      <c r="E1007" s="16">
        <f t="shared" si="100"/>
        <v>4810</v>
      </c>
      <c r="F1007" s="16">
        <f ca="1" t="shared" si="97"/>
        <v>0</v>
      </c>
      <c r="G1007" s="16">
        <f ca="1" t="shared" si="96"/>
        <v>0</v>
      </c>
    </row>
    <row r="1008" spans="2:7">
      <c r="B1008" s="17" t="str">
        <f t="shared" si="95"/>
        <v>8/2027</v>
      </c>
      <c r="C1008" s="18">
        <f t="shared" si="98"/>
        <v>46621</v>
      </c>
      <c r="D1008" s="18" t="str">
        <f t="shared" si="99"/>
        <v>22/08/2027 a 28/08/2027</v>
      </c>
      <c r="E1008" s="16">
        <f t="shared" si="100"/>
        <v>4812</v>
      </c>
      <c r="F1008" s="16">
        <f ca="1" t="shared" si="97"/>
        <v>0</v>
      </c>
      <c r="G1008" s="16">
        <f ca="1" t="shared" si="96"/>
        <v>0</v>
      </c>
    </row>
    <row r="1009" spans="2:7">
      <c r="B1009" s="17" t="str">
        <f t="shared" si="95"/>
        <v>8/2027</v>
      </c>
      <c r="C1009" s="18">
        <f t="shared" si="98"/>
        <v>46621</v>
      </c>
      <c r="D1009" s="18" t="str">
        <f t="shared" si="99"/>
        <v>22/08/2027 a 28/08/2027</v>
      </c>
      <c r="E1009" s="16">
        <f t="shared" si="100"/>
        <v>4814</v>
      </c>
      <c r="F1009" s="16">
        <f ca="1" t="shared" si="97"/>
        <v>0</v>
      </c>
      <c r="G1009" s="16">
        <f ca="1" t="shared" si="96"/>
        <v>0</v>
      </c>
    </row>
    <row r="1010" spans="2:7">
      <c r="B1010" s="17" t="str">
        <f t="shared" si="95"/>
        <v>8/2027</v>
      </c>
      <c r="C1010" s="18">
        <f t="shared" si="98"/>
        <v>46628</v>
      </c>
      <c r="D1010" s="18" t="str">
        <f t="shared" si="99"/>
        <v>29/08/2027 a 04/09/2027</v>
      </c>
      <c r="E1010" s="16">
        <f>E1005+24</f>
        <v>4830</v>
      </c>
      <c r="F1010" s="16">
        <f ca="1" t="shared" si="97"/>
        <v>0</v>
      </c>
      <c r="G1010" s="16">
        <f ca="1" t="shared" si="96"/>
        <v>0</v>
      </c>
    </row>
    <row r="1011" spans="2:7">
      <c r="B1011" s="17" t="str">
        <f t="shared" si="95"/>
        <v>8/2027</v>
      </c>
      <c r="C1011" s="18">
        <f t="shared" si="98"/>
        <v>46628</v>
      </c>
      <c r="D1011" s="18" t="str">
        <f t="shared" si="99"/>
        <v>29/08/2027 a 04/09/2027</v>
      </c>
      <c r="E1011" s="16">
        <f t="shared" si="100"/>
        <v>4832</v>
      </c>
      <c r="F1011" s="16">
        <f ca="1" t="shared" si="97"/>
        <v>0</v>
      </c>
      <c r="G1011" s="16">
        <f ca="1" t="shared" si="96"/>
        <v>0</v>
      </c>
    </row>
    <row r="1012" spans="2:7">
      <c r="B1012" s="17" t="str">
        <f t="shared" si="95"/>
        <v>8/2027</v>
      </c>
      <c r="C1012" s="18">
        <f t="shared" si="98"/>
        <v>46628</v>
      </c>
      <c r="D1012" s="18" t="str">
        <f t="shared" si="99"/>
        <v>29/08/2027 a 04/09/2027</v>
      </c>
      <c r="E1012" s="16">
        <f t="shared" si="100"/>
        <v>4834</v>
      </c>
      <c r="F1012" s="16">
        <f ca="1" t="shared" si="97"/>
        <v>0</v>
      </c>
      <c r="G1012" s="16">
        <f ca="1" t="shared" si="96"/>
        <v>0</v>
      </c>
    </row>
    <row r="1013" spans="2:7">
      <c r="B1013" s="17" t="str">
        <f t="shared" si="95"/>
        <v>8/2027</v>
      </c>
      <c r="C1013" s="18">
        <f t="shared" si="98"/>
        <v>46628</v>
      </c>
      <c r="D1013" s="18" t="str">
        <f t="shared" si="99"/>
        <v>29/08/2027 a 04/09/2027</v>
      </c>
      <c r="E1013" s="16">
        <f t="shared" si="100"/>
        <v>4836</v>
      </c>
      <c r="F1013" s="16">
        <f ca="1" t="shared" si="97"/>
        <v>0</v>
      </c>
      <c r="G1013" s="16">
        <f ca="1" t="shared" si="96"/>
        <v>0</v>
      </c>
    </row>
    <row r="1014" spans="2:7">
      <c r="B1014" s="17" t="str">
        <f t="shared" si="95"/>
        <v>8/2027</v>
      </c>
      <c r="C1014" s="18">
        <f t="shared" si="98"/>
        <v>46628</v>
      </c>
      <c r="D1014" s="18" t="str">
        <f t="shared" si="99"/>
        <v>29/08/2027 a 04/09/2027</v>
      </c>
      <c r="E1014" s="16">
        <f t="shared" si="100"/>
        <v>4838</v>
      </c>
      <c r="F1014" s="16">
        <f ca="1" t="shared" si="97"/>
        <v>0</v>
      </c>
      <c r="G1014" s="16">
        <f ca="1" t="shared" si="96"/>
        <v>0</v>
      </c>
    </row>
    <row r="1015" spans="2:7">
      <c r="B1015" s="17" t="str">
        <f t="shared" si="95"/>
        <v>9/2027</v>
      </c>
      <c r="C1015" s="18">
        <f t="shared" si="98"/>
        <v>46635</v>
      </c>
      <c r="D1015" s="18" t="str">
        <f t="shared" si="99"/>
        <v>05/09/2027 a 11/09/2027</v>
      </c>
      <c r="E1015" s="16">
        <f>E1010+24</f>
        <v>4854</v>
      </c>
      <c r="F1015" s="16">
        <f ca="1" t="shared" si="97"/>
        <v>0</v>
      </c>
      <c r="G1015" s="16">
        <f ca="1" t="shared" si="96"/>
        <v>0</v>
      </c>
    </row>
    <row r="1016" spans="2:7">
      <c r="B1016" s="17" t="str">
        <f t="shared" si="95"/>
        <v>9/2027</v>
      </c>
      <c r="C1016" s="18">
        <f t="shared" si="98"/>
        <v>46635</v>
      </c>
      <c r="D1016" s="18" t="str">
        <f t="shared" si="99"/>
        <v>05/09/2027 a 11/09/2027</v>
      </c>
      <c r="E1016" s="16">
        <f t="shared" si="100"/>
        <v>4856</v>
      </c>
      <c r="F1016" s="16">
        <f ca="1" t="shared" si="97"/>
        <v>0</v>
      </c>
      <c r="G1016" s="16">
        <f ca="1" t="shared" si="96"/>
        <v>0</v>
      </c>
    </row>
    <row r="1017" spans="2:7">
      <c r="B1017" s="17" t="str">
        <f t="shared" ref="B1017:B1080" si="101">MONTH(C1017)&amp;"/"&amp;YEAR(C1017)</f>
        <v>9/2027</v>
      </c>
      <c r="C1017" s="18">
        <f t="shared" si="98"/>
        <v>46635</v>
      </c>
      <c r="D1017" s="18" t="str">
        <f t="shared" si="99"/>
        <v>05/09/2027 a 11/09/2027</v>
      </c>
      <c r="E1017" s="16">
        <f t="shared" si="100"/>
        <v>4858</v>
      </c>
      <c r="F1017" s="16">
        <f ca="1" t="shared" si="97"/>
        <v>0</v>
      </c>
      <c r="G1017" s="16">
        <f ca="1" t="shared" ref="G1017:G1080" si="102">INDIRECT("'Diário'!J"&amp;E1017)</f>
        <v>0</v>
      </c>
    </row>
    <row r="1018" spans="2:7">
      <c r="B1018" s="17" t="str">
        <f t="shared" si="101"/>
        <v>9/2027</v>
      </c>
      <c r="C1018" s="18">
        <f t="shared" si="98"/>
        <v>46635</v>
      </c>
      <c r="D1018" s="18" t="str">
        <f t="shared" si="99"/>
        <v>05/09/2027 a 11/09/2027</v>
      </c>
      <c r="E1018" s="16">
        <f t="shared" si="100"/>
        <v>4860</v>
      </c>
      <c r="F1018" s="16">
        <f ca="1" t="shared" si="97"/>
        <v>0</v>
      </c>
      <c r="G1018" s="16">
        <f ca="1" t="shared" si="102"/>
        <v>0</v>
      </c>
    </row>
    <row r="1019" spans="2:7">
      <c r="B1019" s="17" t="str">
        <f t="shared" si="101"/>
        <v>9/2027</v>
      </c>
      <c r="C1019" s="18">
        <f t="shared" si="98"/>
        <v>46635</v>
      </c>
      <c r="D1019" s="18" t="str">
        <f t="shared" si="99"/>
        <v>05/09/2027 a 11/09/2027</v>
      </c>
      <c r="E1019" s="16">
        <f t="shared" si="100"/>
        <v>4862</v>
      </c>
      <c r="F1019" s="16">
        <f ca="1" t="shared" si="97"/>
        <v>0</v>
      </c>
      <c r="G1019" s="16">
        <f ca="1" t="shared" si="102"/>
        <v>0</v>
      </c>
    </row>
    <row r="1020" spans="2:7">
      <c r="B1020" s="17" t="str">
        <f t="shared" si="101"/>
        <v>9/2027</v>
      </c>
      <c r="C1020" s="18">
        <f t="shared" si="98"/>
        <v>46642</v>
      </c>
      <c r="D1020" s="18" t="str">
        <f t="shared" si="99"/>
        <v>12/09/2027 a 18/09/2027</v>
      </c>
      <c r="E1020" s="16">
        <f>E1015+24</f>
        <v>4878</v>
      </c>
      <c r="F1020" s="16">
        <f ca="1" t="shared" si="97"/>
        <v>0</v>
      </c>
      <c r="G1020" s="16">
        <f ca="1" t="shared" si="102"/>
        <v>0</v>
      </c>
    </row>
    <row r="1021" spans="2:7">
      <c r="B1021" s="17" t="str">
        <f t="shared" si="101"/>
        <v>9/2027</v>
      </c>
      <c r="C1021" s="18">
        <f t="shared" si="98"/>
        <v>46642</v>
      </c>
      <c r="D1021" s="18" t="str">
        <f t="shared" si="99"/>
        <v>12/09/2027 a 18/09/2027</v>
      </c>
      <c r="E1021" s="16">
        <f t="shared" si="100"/>
        <v>4880</v>
      </c>
      <c r="F1021" s="16">
        <f ca="1" t="shared" si="97"/>
        <v>0</v>
      </c>
      <c r="G1021" s="16">
        <f ca="1" t="shared" si="102"/>
        <v>0</v>
      </c>
    </row>
    <row r="1022" spans="2:7">
      <c r="B1022" s="17" t="str">
        <f t="shared" si="101"/>
        <v>9/2027</v>
      </c>
      <c r="C1022" s="18">
        <f t="shared" si="98"/>
        <v>46642</v>
      </c>
      <c r="D1022" s="18" t="str">
        <f t="shared" si="99"/>
        <v>12/09/2027 a 18/09/2027</v>
      </c>
      <c r="E1022" s="16">
        <f t="shared" si="100"/>
        <v>4882</v>
      </c>
      <c r="F1022" s="16">
        <f ca="1" t="shared" ref="F1022:F1085" si="103">INDIRECT("Diário!I"&amp;E1022)</f>
        <v>0</v>
      </c>
      <c r="G1022" s="16">
        <f ca="1" t="shared" si="102"/>
        <v>0</v>
      </c>
    </row>
    <row r="1023" spans="2:7">
      <c r="B1023" s="17" t="str">
        <f t="shared" si="101"/>
        <v>9/2027</v>
      </c>
      <c r="C1023" s="18">
        <f t="shared" si="98"/>
        <v>46642</v>
      </c>
      <c r="D1023" s="18" t="str">
        <f t="shared" si="99"/>
        <v>12/09/2027 a 18/09/2027</v>
      </c>
      <c r="E1023" s="16">
        <f t="shared" si="100"/>
        <v>4884</v>
      </c>
      <c r="F1023" s="16">
        <f ca="1" t="shared" si="103"/>
        <v>0</v>
      </c>
      <c r="G1023" s="16">
        <f ca="1" t="shared" si="102"/>
        <v>0</v>
      </c>
    </row>
    <row r="1024" spans="2:7">
      <c r="B1024" s="17" t="str">
        <f t="shared" si="101"/>
        <v>9/2027</v>
      </c>
      <c r="C1024" s="18">
        <f t="shared" si="98"/>
        <v>46642</v>
      </c>
      <c r="D1024" s="18" t="str">
        <f t="shared" si="99"/>
        <v>12/09/2027 a 18/09/2027</v>
      </c>
      <c r="E1024" s="16">
        <f t="shared" si="100"/>
        <v>4886</v>
      </c>
      <c r="F1024" s="16">
        <f ca="1" t="shared" si="103"/>
        <v>0</v>
      </c>
      <c r="G1024" s="16">
        <f ca="1" t="shared" si="102"/>
        <v>0</v>
      </c>
    </row>
    <row r="1025" spans="2:7">
      <c r="B1025" s="17" t="str">
        <f t="shared" si="101"/>
        <v>9/2027</v>
      </c>
      <c r="C1025" s="18">
        <f t="shared" si="98"/>
        <v>46649</v>
      </c>
      <c r="D1025" s="18" t="str">
        <f t="shared" si="99"/>
        <v>19/09/2027 a 25/09/2027</v>
      </c>
      <c r="E1025" s="16">
        <f>E1020+24</f>
        <v>4902</v>
      </c>
      <c r="F1025" s="16">
        <f ca="1" t="shared" si="103"/>
        <v>0</v>
      </c>
      <c r="G1025" s="16">
        <f ca="1" t="shared" si="102"/>
        <v>0</v>
      </c>
    </row>
    <row r="1026" spans="2:7">
      <c r="B1026" s="17" t="str">
        <f t="shared" si="101"/>
        <v>9/2027</v>
      </c>
      <c r="C1026" s="18">
        <f t="shared" si="98"/>
        <v>46649</v>
      </c>
      <c r="D1026" s="18" t="str">
        <f t="shared" si="99"/>
        <v>19/09/2027 a 25/09/2027</v>
      </c>
      <c r="E1026" s="16">
        <f t="shared" si="100"/>
        <v>4904</v>
      </c>
      <c r="F1026" s="16">
        <f ca="1" t="shared" si="103"/>
        <v>0</v>
      </c>
      <c r="G1026" s="16">
        <f ca="1" t="shared" si="102"/>
        <v>0</v>
      </c>
    </row>
    <row r="1027" spans="2:7">
      <c r="B1027" s="17" t="str">
        <f t="shared" si="101"/>
        <v>9/2027</v>
      </c>
      <c r="C1027" s="18">
        <f t="shared" si="98"/>
        <v>46649</v>
      </c>
      <c r="D1027" s="18" t="str">
        <f t="shared" si="99"/>
        <v>19/09/2027 a 25/09/2027</v>
      </c>
      <c r="E1027" s="16">
        <f t="shared" si="100"/>
        <v>4906</v>
      </c>
      <c r="F1027" s="16">
        <f ca="1" t="shared" si="103"/>
        <v>0</v>
      </c>
      <c r="G1027" s="16">
        <f ca="1" t="shared" si="102"/>
        <v>0</v>
      </c>
    </row>
    <row r="1028" spans="2:7">
      <c r="B1028" s="17" t="str">
        <f t="shared" si="101"/>
        <v>9/2027</v>
      </c>
      <c r="C1028" s="18">
        <f t="shared" si="98"/>
        <v>46649</v>
      </c>
      <c r="D1028" s="18" t="str">
        <f t="shared" si="99"/>
        <v>19/09/2027 a 25/09/2027</v>
      </c>
      <c r="E1028" s="16">
        <f t="shared" si="100"/>
        <v>4908</v>
      </c>
      <c r="F1028" s="16">
        <f ca="1" t="shared" si="103"/>
        <v>0</v>
      </c>
      <c r="G1028" s="16">
        <f ca="1" t="shared" si="102"/>
        <v>0</v>
      </c>
    </row>
    <row r="1029" spans="2:7">
      <c r="B1029" s="17" t="str">
        <f t="shared" si="101"/>
        <v>9/2027</v>
      </c>
      <c r="C1029" s="18">
        <f t="shared" si="98"/>
        <v>46649</v>
      </c>
      <c r="D1029" s="18" t="str">
        <f t="shared" si="99"/>
        <v>19/09/2027 a 25/09/2027</v>
      </c>
      <c r="E1029" s="16">
        <f t="shared" si="100"/>
        <v>4910</v>
      </c>
      <c r="F1029" s="16">
        <f ca="1" t="shared" si="103"/>
        <v>0</v>
      </c>
      <c r="G1029" s="16">
        <f ca="1" t="shared" si="102"/>
        <v>0</v>
      </c>
    </row>
    <row r="1030" spans="2:7">
      <c r="B1030" s="17" t="str">
        <f t="shared" si="101"/>
        <v>9/2027</v>
      </c>
      <c r="C1030" s="18">
        <f t="shared" si="98"/>
        <v>46656</v>
      </c>
      <c r="D1030" s="18" t="str">
        <f t="shared" si="99"/>
        <v>26/09/2027 a 02/10/2027</v>
      </c>
      <c r="E1030" s="16">
        <f>E1025+24</f>
        <v>4926</v>
      </c>
      <c r="F1030" s="16">
        <f ca="1" t="shared" si="103"/>
        <v>0</v>
      </c>
      <c r="G1030" s="16">
        <f ca="1" t="shared" si="102"/>
        <v>0</v>
      </c>
    </row>
    <row r="1031" spans="2:7">
      <c r="B1031" s="17" t="str">
        <f t="shared" si="101"/>
        <v>9/2027</v>
      </c>
      <c r="C1031" s="18">
        <f t="shared" si="98"/>
        <v>46656</v>
      </c>
      <c r="D1031" s="18" t="str">
        <f t="shared" si="99"/>
        <v>26/09/2027 a 02/10/2027</v>
      </c>
      <c r="E1031" s="16">
        <f t="shared" si="100"/>
        <v>4928</v>
      </c>
      <c r="F1031" s="16">
        <f ca="1" t="shared" si="103"/>
        <v>0</v>
      </c>
      <c r="G1031" s="16">
        <f ca="1" t="shared" si="102"/>
        <v>0</v>
      </c>
    </row>
    <row r="1032" spans="2:7">
      <c r="B1032" s="17" t="str">
        <f t="shared" si="101"/>
        <v>9/2027</v>
      </c>
      <c r="C1032" s="18">
        <f t="shared" si="98"/>
        <v>46656</v>
      </c>
      <c r="D1032" s="18" t="str">
        <f t="shared" si="99"/>
        <v>26/09/2027 a 02/10/2027</v>
      </c>
      <c r="E1032" s="16">
        <f t="shared" si="100"/>
        <v>4930</v>
      </c>
      <c r="F1032" s="16">
        <f ca="1" t="shared" si="103"/>
        <v>0</v>
      </c>
      <c r="G1032" s="16">
        <f ca="1" t="shared" si="102"/>
        <v>0</v>
      </c>
    </row>
    <row r="1033" spans="2:7">
      <c r="B1033" s="17" t="str">
        <f t="shared" si="101"/>
        <v>9/2027</v>
      </c>
      <c r="C1033" s="18">
        <f t="shared" si="98"/>
        <v>46656</v>
      </c>
      <c r="D1033" s="18" t="str">
        <f t="shared" si="99"/>
        <v>26/09/2027 a 02/10/2027</v>
      </c>
      <c r="E1033" s="16">
        <f t="shared" si="100"/>
        <v>4932</v>
      </c>
      <c r="F1033" s="16">
        <f ca="1" t="shared" si="103"/>
        <v>0</v>
      </c>
      <c r="G1033" s="16">
        <f ca="1" t="shared" si="102"/>
        <v>0</v>
      </c>
    </row>
    <row r="1034" spans="2:7">
      <c r="B1034" s="17" t="str">
        <f t="shared" si="101"/>
        <v>9/2027</v>
      </c>
      <c r="C1034" s="18">
        <f t="shared" si="98"/>
        <v>46656</v>
      </c>
      <c r="D1034" s="18" t="str">
        <f t="shared" si="99"/>
        <v>26/09/2027 a 02/10/2027</v>
      </c>
      <c r="E1034" s="16">
        <f t="shared" si="100"/>
        <v>4934</v>
      </c>
      <c r="F1034" s="16">
        <f ca="1" t="shared" si="103"/>
        <v>0</v>
      </c>
      <c r="G1034" s="16">
        <f ca="1" t="shared" si="102"/>
        <v>0</v>
      </c>
    </row>
    <row r="1035" spans="2:7">
      <c r="B1035" s="17" t="str">
        <f t="shared" si="101"/>
        <v>10/2027</v>
      </c>
      <c r="C1035" s="18">
        <f t="shared" si="98"/>
        <v>46663</v>
      </c>
      <c r="D1035" s="18" t="str">
        <f t="shared" si="99"/>
        <v>03/10/2027 a 09/10/2027</v>
      </c>
      <c r="E1035" s="16">
        <f>E1030+24</f>
        <v>4950</v>
      </c>
      <c r="F1035" s="16">
        <f ca="1" t="shared" si="103"/>
        <v>0</v>
      </c>
      <c r="G1035" s="16">
        <f ca="1" t="shared" si="102"/>
        <v>0</v>
      </c>
    </row>
    <row r="1036" spans="2:7">
      <c r="B1036" s="17" t="str">
        <f t="shared" si="101"/>
        <v>10/2027</v>
      </c>
      <c r="C1036" s="18">
        <f t="shared" si="98"/>
        <v>46663</v>
      </c>
      <c r="D1036" s="18" t="str">
        <f t="shared" si="99"/>
        <v>03/10/2027 a 09/10/2027</v>
      </c>
      <c r="E1036" s="16">
        <f t="shared" si="100"/>
        <v>4952</v>
      </c>
      <c r="F1036" s="16">
        <f ca="1" t="shared" si="103"/>
        <v>0</v>
      </c>
      <c r="G1036" s="16">
        <f ca="1" t="shared" si="102"/>
        <v>0</v>
      </c>
    </row>
    <row r="1037" spans="2:7">
      <c r="B1037" s="17" t="str">
        <f t="shared" si="101"/>
        <v>10/2027</v>
      </c>
      <c r="C1037" s="18">
        <f t="shared" si="98"/>
        <v>46663</v>
      </c>
      <c r="D1037" s="18" t="str">
        <f t="shared" si="99"/>
        <v>03/10/2027 a 09/10/2027</v>
      </c>
      <c r="E1037" s="16">
        <f t="shared" si="100"/>
        <v>4954</v>
      </c>
      <c r="F1037" s="16">
        <f ca="1" t="shared" si="103"/>
        <v>0</v>
      </c>
      <c r="G1037" s="16">
        <f ca="1" t="shared" si="102"/>
        <v>0</v>
      </c>
    </row>
    <row r="1038" spans="2:7">
      <c r="B1038" s="17" t="str">
        <f t="shared" si="101"/>
        <v>10/2027</v>
      </c>
      <c r="C1038" s="18">
        <f t="shared" si="98"/>
        <v>46663</v>
      </c>
      <c r="D1038" s="18" t="str">
        <f t="shared" si="99"/>
        <v>03/10/2027 a 09/10/2027</v>
      </c>
      <c r="E1038" s="16">
        <f t="shared" si="100"/>
        <v>4956</v>
      </c>
      <c r="F1038" s="16">
        <f ca="1" t="shared" si="103"/>
        <v>0</v>
      </c>
      <c r="G1038" s="16">
        <f ca="1" t="shared" si="102"/>
        <v>0</v>
      </c>
    </row>
    <row r="1039" spans="2:7">
      <c r="B1039" s="17" t="str">
        <f t="shared" si="101"/>
        <v>10/2027</v>
      </c>
      <c r="C1039" s="18">
        <f t="shared" si="98"/>
        <v>46663</v>
      </c>
      <c r="D1039" s="18" t="str">
        <f t="shared" si="99"/>
        <v>03/10/2027 a 09/10/2027</v>
      </c>
      <c r="E1039" s="16">
        <f t="shared" si="100"/>
        <v>4958</v>
      </c>
      <c r="F1039" s="16">
        <f ca="1" t="shared" si="103"/>
        <v>0</v>
      </c>
      <c r="G1039" s="16">
        <f ca="1" t="shared" si="102"/>
        <v>0</v>
      </c>
    </row>
    <row r="1040" spans="2:7">
      <c r="B1040" s="17" t="str">
        <f t="shared" si="101"/>
        <v>10/2027</v>
      </c>
      <c r="C1040" s="18">
        <f t="shared" si="98"/>
        <v>46670</v>
      </c>
      <c r="D1040" s="18" t="str">
        <f t="shared" si="99"/>
        <v>10/10/2027 a 16/10/2027</v>
      </c>
      <c r="E1040" s="16">
        <f>E1035+24</f>
        <v>4974</v>
      </c>
      <c r="F1040" s="16">
        <f ca="1" t="shared" si="103"/>
        <v>0</v>
      </c>
      <c r="G1040" s="16">
        <f ca="1" t="shared" si="102"/>
        <v>0</v>
      </c>
    </row>
    <row r="1041" spans="2:7">
      <c r="B1041" s="17" t="str">
        <f t="shared" si="101"/>
        <v>10/2027</v>
      </c>
      <c r="C1041" s="18">
        <f t="shared" si="98"/>
        <v>46670</v>
      </c>
      <c r="D1041" s="18" t="str">
        <f t="shared" si="99"/>
        <v>10/10/2027 a 16/10/2027</v>
      </c>
      <c r="E1041" s="16">
        <f t="shared" si="100"/>
        <v>4976</v>
      </c>
      <c r="F1041" s="16">
        <f ca="1" t="shared" si="103"/>
        <v>0</v>
      </c>
      <c r="G1041" s="16">
        <f ca="1" t="shared" si="102"/>
        <v>0</v>
      </c>
    </row>
    <row r="1042" spans="2:7">
      <c r="B1042" s="17" t="str">
        <f t="shared" si="101"/>
        <v>10/2027</v>
      </c>
      <c r="C1042" s="18">
        <f t="shared" ref="C1042:C1105" si="104">C1037+7</f>
        <v>46670</v>
      </c>
      <c r="D1042" s="18" t="str">
        <f t="shared" si="99"/>
        <v>10/10/2027 a 16/10/2027</v>
      </c>
      <c r="E1042" s="16">
        <f t="shared" si="100"/>
        <v>4978</v>
      </c>
      <c r="F1042" s="16">
        <f ca="1" t="shared" si="103"/>
        <v>0</v>
      </c>
      <c r="G1042" s="16">
        <f ca="1" t="shared" si="102"/>
        <v>0</v>
      </c>
    </row>
    <row r="1043" spans="2:7">
      <c r="B1043" s="17" t="str">
        <f t="shared" si="101"/>
        <v>10/2027</v>
      </c>
      <c r="C1043" s="18">
        <f t="shared" si="104"/>
        <v>46670</v>
      </c>
      <c r="D1043" s="18" t="str">
        <f t="shared" ref="D1043:D1106" si="105">TEXT((C1043),"DD/MM/AAAA")&amp;" a "&amp;TEXT((C1043+6),"DD/MM/AAAA")</f>
        <v>10/10/2027 a 16/10/2027</v>
      </c>
      <c r="E1043" s="16">
        <f t="shared" si="100"/>
        <v>4980</v>
      </c>
      <c r="F1043" s="16">
        <f ca="1" t="shared" si="103"/>
        <v>0</v>
      </c>
      <c r="G1043" s="16">
        <f ca="1" t="shared" si="102"/>
        <v>0</v>
      </c>
    </row>
    <row r="1044" spans="2:7">
      <c r="B1044" s="17" t="str">
        <f t="shared" si="101"/>
        <v>10/2027</v>
      </c>
      <c r="C1044" s="18">
        <f t="shared" si="104"/>
        <v>46670</v>
      </c>
      <c r="D1044" s="18" t="str">
        <f t="shared" si="105"/>
        <v>10/10/2027 a 16/10/2027</v>
      </c>
      <c r="E1044" s="16">
        <f t="shared" si="100"/>
        <v>4982</v>
      </c>
      <c r="F1044" s="16">
        <f ca="1" t="shared" si="103"/>
        <v>0</v>
      </c>
      <c r="G1044" s="16">
        <f ca="1" t="shared" si="102"/>
        <v>0</v>
      </c>
    </row>
    <row r="1045" spans="2:7">
      <c r="B1045" s="17" t="str">
        <f t="shared" si="101"/>
        <v>10/2027</v>
      </c>
      <c r="C1045" s="18">
        <f t="shared" si="104"/>
        <v>46677</v>
      </c>
      <c r="D1045" s="18" t="str">
        <f t="shared" si="105"/>
        <v>17/10/2027 a 23/10/2027</v>
      </c>
      <c r="E1045" s="16">
        <f>E1040+24</f>
        <v>4998</v>
      </c>
      <c r="F1045" s="16">
        <f ca="1" t="shared" si="103"/>
        <v>0</v>
      </c>
      <c r="G1045" s="16">
        <f ca="1" t="shared" si="102"/>
        <v>0</v>
      </c>
    </row>
    <row r="1046" spans="2:7">
      <c r="B1046" s="17" t="str">
        <f t="shared" si="101"/>
        <v>10/2027</v>
      </c>
      <c r="C1046" s="18">
        <f t="shared" si="104"/>
        <v>46677</v>
      </c>
      <c r="D1046" s="18" t="str">
        <f t="shared" si="105"/>
        <v>17/10/2027 a 23/10/2027</v>
      </c>
      <c r="E1046" s="16">
        <f t="shared" si="100"/>
        <v>5000</v>
      </c>
      <c r="F1046" s="16">
        <f ca="1" t="shared" si="103"/>
        <v>0</v>
      </c>
      <c r="G1046" s="16">
        <f ca="1" t="shared" si="102"/>
        <v>0</v>
      </c>
    </row>
    <row r="1047" spans="2:7">
      <c r="B1047" s="17" t="str">
        <f t="shared" si="101"/>
        <v>10/2027</v>
      </c>
      <c r="C1047" s="18">
        <f t="shared" si="104"/>
        <v>46677</v>
      </c>
      <c r="D1047" s="18" t="str">
        <f t="shared" si="105"/>
        <v>17/10/2027 a 23/10/2027</v>
      </c>
      <c r="E1047" s="16">
        <f t="shared" si="100"/>
        <v>5002</v>
      </c>
      <c r="F1047" s="16">
        <f ca="1" t="shared" si="103"/>
        <v>0</v>
      </c>
      <c r="G1047" s="16">
        <f ca="1" t="shared" si="102"/>
        <v>0</v>
      </c>
    </row>
    <row r="1048" spans="2:7">
      <c r="B1048" s="17" t="str">
        <f t="shared" si="101"/>
        <v>10/2027</v>
      </c>
      <c r="C1048" s="18">
        <f t="shared" si="104"/>
        <v>46677</v>
      </c>
      <c r="D1048" s="18" t="str">
        <f t="shared" si="105"/>
        <v>17/10/2027 a 23/10/2027</v>
      </c>
      <c r="E1048" s="16">
        <f t="shared" si="100"/>
        <v>5004</v>
      </c>
      <c r="F1048" s="16">
        <f ca="1" t="shared" si="103"/>
        <v>0</v>
      </c>
      <c r="G1048" s="16">
        <f ca="1" t="shared" si="102"/>
        <v>0</v>
      </c>
    </row>
    <row r="1049" spans="2:7">
      <c r="B1049" s="17" t="str">
        <f t="shared" si="101"/>
        <v>10/2027</v>
      </c>
      <c r="C1049" s="18">
        <f t="shared" si="104"/>
        <v>46677</v>
      </c>
      <c r="D1049" s="18" t="str">
        <f t="shared" si="105"/>
        <v>17/10/2027 a 23/10/2027</v>
      </c>
      <c r="E1049" s="16">
        <f t="shared" si="100"/>
        <v>5006</v>
      </c>
      <c r="F1049" s="16">
        <f ca="1" t="shared" si="103"/>
        <v>0</v>
      </c>
      <c r="G1049" s="16">
        <f ca="1" t="shared" si="102"/>
        <v>0</v>
      </c>
    </row>
    <row r="1050" spans="2:7">
      <c r="B1050" s="17" t="str">
        <f t="shared" si="101"/>
        <v>10/2027</v>
      </c>
      <c r="C1050" s="18">
        <f t="shared" si="104"/>
        <v>46684</v>
      </c>
      <c r="D1050" s="18" t="str">
        <f t="shared" si="105"/>
        <v>24/10/2027 a 30/10/2027</v>
      </c>
      <c r="E1050" s="16">
        <f>E1045+24</f>
        <v>5022</v>
      </c>
      <c r="F1050" s="16">
        <f ca="1" t="shared" si="103"/>
        <v>0</v>
      </c>
      <c r="G1050" s="16">
        <f ca="1" t="shared" si="102"/>
        <v>0</v>
      </c>
    </row>
    <row r="1051" spans="2:7">
      <c r="B1051" s="17" t="str">
        <f t="shared" si="101"/>
        <v>10/2027</v>
      </c>
      <c r="C1051" s="18">
        <f t="shared" si="104"/>
        <v>46684</v>
      </c>
      <c r="D1051" s="18" t="str">
        <f t="shared" si="105"/>
        <v>24/10/2027 a 30/10/2027</v>
      </c>
      <c r="E1051" s="16">
        <f t="shared" si="100"/>
        <v>5024</v>
      </c>
      <c r="F1051" s="16">
        <f ca="1" t="shared" si="103"/>
        <v>0</v>
      </c>
      <c r="G1051" s="16">
        <f ca="1" t="shared" si="102"/>
        <v>0</v>
      </c>
    </row>
    <row r="1052" spans="2:7">
      <c r="B1052" s="17" t="str">
        <f t="shared" si="101"/>
        <v>10/2027</v>
      </c>
      <c r="C1052" s="18">
        <f t="shared" si="104"/>
        <v>46684</v>
      </c>
      <c r="D1052" s="18" t="str">
        <f t="shared" si="105"/>
        <v>24/10/2027 a 30/10/2027</v>
      </c>
      <c r="E1052" s="16">
        <f t="shared" si="100"/>
        <v>5026</v>
      </c>
      <c r="F1052" s="16">
        <f ca="1" t="shared" si="103"/>
        <v>0</v>
      </c>
      <c r="G1052" s="16">
        <f ca="1" t="shared" si="102"/>
        <v>0</v>
      </c>
    </row>
    <row r="1053" spans="2:7">
      <c r="B1053" s="17" t="str">
        <f t="shared" si="101"/>
        <v>10/2027</v>
      </c>
      <c r="C1053" s="18">
        <f t="shared" si="104"/>
        <v>46684</v>
      </c>
      <c r="D1053" s="18" t="str">
        <f t="shared" si="105"/>
        <v>24/10/2027 a 30/10/2027</v>
      </c>
      <c r="E1053" s="16">
        <f t="shared" si="100"/>
        <v>5028</v>
      </c>
      <c r="F1053" s="16">
        <f ca="1" t="shared" si="103"/>
        <v>0</v>
      </c>
      <c r="G1053" s="16">
        <f ca="1" t="shared" si="102"/>
        <v>0</v>
      </c>
    </row>
    <row r="1054" spans="2:7">
      <c r="B1054" s="17" t="str">
        <f t="shared" si="101"/>
        <v>10/2027</v>
      </c>
      <c r="C1054" s="18">
        <f t="shared" si="104"/>
        <v>46684</v>
      </c>
      <c r="D1054" s="18" t="str">
        <f t="shared" si="105"/>
        <v>24/10/2027 a 30/10/2027</v>
      </c>
      <c r="E1054" s="16">
        <f t="shared" si="100"/>
        <v>5030</v>
      </c>
      <c r="F1054" s="16">
        <f ca="1" t="shared" si="103"/>
        <v>0</v>
      </c>
      <c r="G1054" s="16">
        <f ca="1" t="shared" si="102"/>
        <v>0</v>
      </c>
    </row>
    <row r="1055" spans="2:7">
      <c r="B1055" s="17" t="str">
        <f t="shared" si="101"/>
        <v>10/2027</v>
      </c>
      <c r="C1055" s="18">
        <f t="shared" si="104"/>
        <v>46691</v>
      </c>
      <c r="D1055" s="18" t="str">
        <f t="shared" si="105"/>
        <v>31/10/2027 a 06/11/2027</v>
      </c>
      <c r="E1055" s="16">
        <f>E1050+24</f>
        <v>5046</v>
      </c>
      <c r="F1055" s="16">
        <f ca="1" t="shared" si="103"/>
        <v>0</v>
      </c>
      <c r="G1055" s="16">
        <f ca="1" t="shared" si="102"/>
        <v>0</v>
      </c>
    </row>
    <row r="1056" spans="2:7">
      <c r="B1056" s="17" t="str">
        <f t="shared" si="101"/>
        <v>10/2027</v>
      </c>
      <c r="C1056" s="18">
        <f t="shared" si="104"/>
        <v>46691</v>
      </c>
      <c r="D1056" s="18" t="str">
        <f t="shared" si="105"/>
        <v>31/10/2027 a 06/11/2027</v>
      </c>
      <c r="E1056" s="16">
        <f t="shared" si="100"/>
        <v>5048</v>
      </c>
      <c r="F1056" s="16">
        <f ca="1" t="shared" si="103"/>
        <v>0</v>
      </c>
      <c r="G1056" s="16">
        <f ca="1" t="shared" si="102"/>
        <v>0</v>
      </c>
    </row>
    <row r="1057" spans="2:7">
      <c r="B1057" s="17" t="str">
        <f t="shared" si="101"/>
        <v>10/2027</v>
      </c>
      <c r="C1057" s="18">
        <f t="shared" si="104"/>
        <v>46691</v>
      </c>
      <c r="D1057" s="18" t="str">
        <f t="shared" si="105"/>
        <v>31/10/2027 a 06/11/2027</v>
      </c>
      <c r="E1057" s="16">
        <f t="shared" si="100"/>
        <v>5050</v>
      </c>
      <c r="F1057" s="16">
        <f ca="1" t="shared" si="103"/>
        <v>0</v>
      </c>
      <c r="G1057" s="16">
        <f ca="1" t="shared" si="102"/>
        <v>0</v>
      </c>
    </row>
    <row r="1058" spans="2:7">
      <c r="B1058" s="17" t="str">
        <f t="shared" si="101"/>
        <v>10/2027</v>
      </c>
      <c r="C1058" s="18">
        <f t="shared" si="104"/>
        <v>46691</v>
      </c>
      <c r="D1058" s="18" t="str">
        <f t="shared" si="105"/>
        <v>31/10/2027 a 06/11/2027</v>
      </c>
      <c r="E1058" s="16">
        <f t="shared" si="100"/>
        <v>5052</v>
      </c>
      <c r="F1058" s="16">
        <f ca="1" t="shared" si="103"/>
        <v>0</v>
      </c>
      <c r="G1058" s="16">
        <f ca="1" t="shared" si="102"/>
        <v>0</v>
      </c>
    </row>
    <row r="1059" spans="2:7">
      <c r="B1059" s="17" t="str">
        <f t="shared" si="101"/>
        <v>10/2027</v>
      </c>
      <c r="C1059" s="18">
        <f t="shared" si="104"/>
        <v>46691</v>
      </c>
      <c r="D1059" s="18" t="str">
        <f t="shared" si="105"/>
        <v>31/10/2027 a 06/11/2027</v>
      </c>
      <c r="E1059" s="16">
        <f t="shared" si="100"/>
        <v>5054</v>
      </c>
      <c r="F1059" s="16">
        <f ca="1" t="shared" si="103"/>
        <v>0</v>
      </c>
      <c r="G1059" s="16">
        <f ca="1" t="shared" si="102"/>
        <v>0</v>
      </c>
    </row>
    <row r="1060" spans="2:7">
      <c r="B1060" s="17" t="str">
        <f t="shared" si="101"/>
        <v>11/2027</v>
      </c>
      <c r="C1060" s="18">
        <f t="shared" si="104"/>
        <v>46698</v>
      </c>
      <c r="D1060" s="18" t="str">
        <f t="shared" si="105"/>
        <v>07/11/2027 a 13/11/2027</v>
      </c>
      <c r="E1060" s="16">
        <f>E1055+24</f>
        <v>5070</v>
      </c>
      <c r="F1060" s="16">
        <f ca="1" t="shared" si="103"/>
        <v>0</v>
      </c>
      <c r="G1060" s="16">
        <f ca="1" t="shared" si="102"/>
        <v>0</v>
      </c>
    </row>
    <row r="1061" spans="2:7">
      <c r="B1061" s="17" t="str">
        <f t="shared" si="101"/>
        <v>11/2027</v>
      </c>
      <c r="C1061" s="18">
        <f t="shared" si="104"/>
        <v>46698</v>
      </c>
      <c r="D1061" s="18" t="str">
        <f t="shared" si="105"/>
        <v>07/11/2027 a 13/11/2027</v>
      </c>
      <c r="E1061" s="16">
        <f t="shared" si="100"/>
        <v>5072</v>
      </c>
      <c r="F1061" s="16">
        <f ca="1" t="shared" si="103"/>
        <v>0</v>
      </c>
      <c r="G1061" s="16">
        <f ca="1" t="shared" si="102"/>
        <v>0</v>
      </c>
    </row>
    <row r="1062" spans="2:7">
      <c r="B1062" s="17" t="str">
        <f t="shared" si="101"/>
        <v>11/2027</v>
      </c>
      <c r="C1062" s="18">
        <f t="shared" si="104"/>
        <v>46698</v>
      </c>
      <c r="D1062" s="18" t="str">
        <f t="shared" si="105"/>
        <v>07/11/2027 a 13/11/2027</v>
      </c>
      <c r="E1062" s="16">
        <f t="shared" si="100"/>
        <v>5074</v>
      </c>
      <c r="F1062" s="16">
        <f ca="1" t="shared" si="103"/>
        <v>0</v>
      </c>
      <c r="G1062" s="16">
        <f ca="1" t="shared" si="102"/>
        <v>0</v>
      </c>
    </row>
    <row r="1063" spans="2:7">
      <c r="B1063" s="17" t="str">
        <f t="shared" si="101"/>
        <v>11/2027</v>
      </c>
      <c r="C1063" s="18">
        <f t="shared" si="104"/>
        <v>46698</v>
      </c>
      <c r="D1063" s="18" t="str">
        <f t="shared" si="105"/>
        <v>07/11/2027 a 13/11/2027</v>
      </c>
      <c r="E1063" s="16">
        <f t="shared" si="100"/>
        <v>5076</v>
      </c>
      <c r="F1063" s="16">
        <f ca="1" t="shared" si="103"/>
        <v>0</v>
      </c>
      <c r="G1063" s="16">
        <f ca="1" t="shared" si="102"/>
        <v>0</v>
      </c>
    </row>
    <row r="1064" spans="2:7">
      <c r="B1064" s="17" t="str">
        <f t="shared" si="101"/>
        <v>11/2027</v>
      </c>
      <c r="C1064" s="18">
        <f t="shared" si="104"/>
        <v>46698</v>
      </c>
      <c r="D1064" s="18" t="str">
        <f t="shared" si="105"/>
        <v>07/11/2027 a 13/11/2027</v>
      </c>
      <c r="E1064" s="16">
        <f t="shared" si="100"/>
        <v>5078</v>
      </c>
      <c r="F1064" s="16">
        <f ca="1" t="shared" si="103"/>
        <v>0</v>
      </c>
      <c r="G1064" s="16">
        <f ca="1" t="shared" si="102"/>
        <v>0</v>
      </c>
    </row>
    <row r="1065" spans="2:7">
      <c r="B1065" s="17" t="str">
        <f t="shared" si="101"/>
        <v>11/2027</v>
      </c>
      <c r="C1065" s="18">
        <f t="shared" si="104"/>
        <v>46705</v>
      </c>
      <c r="D1065" s="18" t="str">
        <f t="shared" si="105"/>
        <v>14/11/2027 a 20/11/2027</v>
      </c>
      <c r="E1065" s="16">
        <f>E1060+24</f>
        <v>5094</v>
      </c>
      <c r="F1065" s="16">
        <f ca="1" t="shared" si="103"/>
        <v>0</v>
      </c>
      <c r="G1065" s="16">
        <f ca="1" t="shared" si="102"/>
        <v>0</v>
      </c>
    </row>
    <row r="1066" spans="2:7">
      <c r="B1066" s="17" t="str">
        <f t="shared" si="101"/>
        <v>11/2027</v>
      </c>
      <c r="C1066" s="18">
        <f t="shared" si="104"/>
        <v>46705</v>
      </c>
      <c r="D1066" s="18" t="str">
        <f t="shared" si="105"/>
        <v>14/11/2027 a 20/11/2027</v>
      </c>
      <c r="E1066" s="16">
        <f t="shared" ref="E1066:E1129" si="106">E1065+2</f>
        <v>5096</v>
      </c>
      <c r="F1066" s="16">
        <f ca="1" t="shared" si="103"/>
        <v>0</v>
      </c>
      <c r="G1066" s="16">
        <f ca="1" t="shared" si="102"/>
        <v>0</v>
      </c>
    </row>
    <row r="1067" spans="2:7">
      <c r="B1067" s="17" t="str">
        <f t="shared" si="101"/>
        <v>11/2027</v>
      </c>
      <c r="C1067" s="18">
        <f t="shared" si="104"/>
        <v>46705</v>
      </c>
      <c r="D1067" s="18" t="str">
        <f t="shared" si="105"/>
        <v>14/11/2027 a 20/11/2027</v>
      </c>
      <c r="E1067" s="16">
        <f t="shared" si="106"/>
        <v>5098</v>
      </c>
      <c r="F1067" s="16">
        <f ca="1" t="shared" si="103"/>
        <v>0</v>
      </c>
      <c r="G1067" s="16">
        <f ca="1" t="shared" si="102"/>
        <v>0</v>
      </c>
    </row>
    <row r="1068" spans="2:7">
      <c r="B1068" s="17" t="str">
        <f t="shared" si="101"/>
        <v>11/2027</v>
      </c>
      <c r="C1068" s="18">
        <f t="shared" si="104"/>
        <v>46705</v>
      </c>
      <c r="D1068" s="18" t="str">
        <f t="shared" si="105"/>
        <v>14/11/2027 a 20/11/2027</v>
      </c>
      <c r="E1068" s="16">
        <f t="shared" si="106"/>
        <v>5100</v>
      </c>
      <c r="F1068" s="16">
        <f ca="1" t="shared" si="103"/>
        <v>0</v>
      </c>
      <c r="G1068" s="16">
        <f ca="1" t="shared" si="102"/>
        <v>0</v>
      </c>
    </row>
    <row r="1069" spans="2:7">
      <c r="B1069" s="17" t="str">
        <f t="shared" si="101"/>
        <v>11/2027</v>
      </c>
      <c r="C1069" s="18">
        <f t="shared" si="104"/>
        <v>46705</v>
      </c>
      <c r="D1069" s="18" t="str">
        <f t="shared" si="105"/>
        <v>14/11/2027 a 20/11/2027</v>
      </c>
      <c r="E1069" s="16">
        <f t="shared" si="106"/>
        <v>5102</v>
      </c>
      <c r="F1069" s="16">
        <f ca="1" t="shared" si="103"/>
        <v>0</v>
      </c>
      <c r="G1069" s="16">
        <f ca="1" t="shared" si="102"/>
        <v>0</v>
      </c>
    </row>
    <row r="1070" spans="2:7">
      <c r="B1070" s="17" t="str">
        <f t="shared" si="101"/>
        <v>11/2027</v>
      </c>
      <c r="C1070" s="18">
        <f t="shared" si="104"/>
        <v>46712</v>
      </c>
      <c r="D1070" s="18" t="str">
        <f t="shared" si="105"/>
        <v>21/11/2027 a 27/11/2027</v>
      </c>
      <c r="E1070" s="16">
        <f>E1065+24</f>
        <v>5118</v>
      </c>
      <c r="F1070" s="16">
        <f ca="1" t="shared" si="103"/>
        <v>0</v>
      </c>
      <c r="G1070" s="16">
        <f ca="1" t="shared" si="102"/>
        <v>0</v>
      </c>
    </row>
    <row r="1071" spans="2:7">
      <c r="B1071" s="17" t="str">
        <f t="shared" si="101"/>
        <v>11/2027</v>
      </c>
      <c r="C1071" s="18">
        <f t="shared" si="104"/>
        <v>46712</v>
      </c>
      <c r="D1071" s="18" t="str">
        <f t="shared" si="105"/>
        <v>21/11/2027 a 27/11/2027</v>
      </c>
      <c r="E1071" s="16">
        <f t="shared" si="106"/>
        <v>5120</v>
      </c>
      <c r="F1071" s="16">
        <f ca="1" t="shared" si="103"/>
        <v>0</v>
      </c>
      <c r="G1071" s="16">
        <f ca="1" t="shared" si="102"/>
        <v>0</v>
      </c>
    </row>
    <row r="1072" spans="2:7">
      <c r="B1072" s="17" t="str">
        <f t="shared" si="101"/>
        <v>11/2027</v>
      </c>
      <c r="C1072" s="18">
        <f t="shared" si="104"/>
        <v>46712</v>
      </c>
      <c r="D1072" s="18" t="str">
        <f t="shared" si="105"/>
        <v>21/11/2027 a 27/11/2027</v>
      </c>
      <c r="E1072" s="16">
        <f t="shared" si="106"/>
        <v>5122</v>
      </c>
      <c r="F1072" s="16">
        <f ca="1" t="shared" si="103"/>
        <v>0</v>
      </c>
      <c r="G1072" s="16">
        <f ca="1" t="shared" si="102"/>
        <v>0</v>
      </c>
    </row>
    <row r="1073" spans="2:7">
      <c r="B1073" s="17" t="str">
        <f t="shared" si="101"/>
        <v>11/2027</v>
      </c>
      <c r="C1073" s="18">
        <f t="shared" si="104"/>
        <v>46712</v>
      </c>
      <c r="D1073" s="18" t="str">
        <f t="shared" si="105"/>
        <v>21/11/2027 a 27/11/2027</v>
      </c>
      <c r="E1073" s="16">
        <f t="shared" si="106"/>
        <v>5124</v>
      </c>
      <c r="F1073" s="16">
        <f ca="1" t="shared" si="103"/>
        <v>0</v>
      </c>
      <c r="G1073" s="16">
        <f ca="1" t="shared" si="102"/>
        <v>0</v>
      </c>
    </row>
    <row r="1074" spans="2:7">
      <c r="B1074" s="17" t="str">
        <f t="shared" si="101"/>
        <v>11/2027</v>
      </c>
      <c r="C1074" s="18">
        <f t="shared" si="104"/>
        <v>46712</v>
      </c>
      <c r="D1074" s="18" t="str">
        <f t="shared" si="105"/>
        <v>21/11/2027 a 27/11/2027</v>
      </c>
      <c r="E1074" s="16">
        <f t="shared" si="106"/>
        <v>5126</v>
      </c>
      <c r="F1074" s="16">
        <f ca="1" t="shared" si="103"/>
        <v>0</v>
      </c>
      <c r="G1074" s="16">
        <f ca="1" t="shared" si="102"/>
        <v>0</v>
      </c>
    </row>
    <row r="1075" spans="2:7">
      <c r="B1075" s="17" t="str">
        <f t="shared" si="101"/>
        <v>11/2027</v>
      </c>
      <c r="C1075" s="18">
        <f t="shared" si="104"/>
        <v>46719</v>
      </c>
      <c r="D1075" s="18" t="str">
        <f t="shared" si="105"/>
        <v>28/11/2027 a 04/12/2027</v>
      </c>
      <c r="E1075" s="16">
        <f>E1070+24</f>
        <v>5142</v>
      </c>
      <c r="F1075" s="16">
        <f ca="1" t="shared" si="103"/>
        <v>0</v>
      </c>
      <c r="G1075" s="16">
        <f ca="1" t="shared" si="102"/>
        <v>0</v>
      </c>
    </row>
    <row r="1076" spans="2:7">
      <c r="B1076" s="17" t="str">
        <f t="shared" si="101"/>
        <v>11/2027</v>
      </c>
      <c r="C1076" s="18">
        <f t="shared" si="104"/>
        <v>46719</v>
      </c>
      <c r="D1076" s="18" t="str">
        <f t="shared" si="105"/>
        <v>28/11/2027 a 04/12/2027</v>
      </c>
      <c r="E1076" s="16">
        <f t="shared" si="106"/>
        <v>5144</v>
      </c>
      <c r="F1076" s="16">
        <f ca="1" t="shared" si="103"/>
        <v>0</v>
      </c>
      <c r="G1076" s="16">
        <f ca="1" t="shared" si="102"/>
        <v>0</v>
      </c>
    </row>
    <row r="1077" spans="2:7">
      <c r="B1077" s="17" t="str">
        <f t="shared" si="101"/>
        <v>11/2027</v>
      </c>
      <c r="C1077" s="18">
        <f t="shared" si="104"/>
        <v>46719</v>
      </c>
      <c r="D1077" s="18" t="str">
        <f t="shared" si="105"/>
        <v>28/11/2027 a 04/12/2027</v>
      </c>
      <c r="E1077" s="16">
        <f t="shared" si="106"/>
        <v>5146</v>
      </c>
      <c r="F1077" s="16">
        <f ca="1" t="shared" si="103"/>
        <v>0</v>
      </c>
      <c r="G1077" s="16">
        <f ca="1" t="shared" si="102"/>
        <v>0</v>
      </c>
    </row>
    <row r="1078" spans="2:7">
      <c r="B1078" s="17" t="str">
        <f t="shared" si="101"/>
        <v>11/2027</v>
      </c>
      <c r="C1078" s="18">
        <f t="shared" si="104"/>
        <v>46719</v>
      </c>
      <c r="D1078" s="18" t="str">
        <f t="shared" si="105"/>
        <v>28/11/2027 a 04/12/2027</v>
      </c>
      <c r="E1078" s="16">
        <f t="shared" si="106"/>
        <v>5148</v>
      </c>
      <c r="F1078" s="16">
        <f ca="1" t="shared" si="103"/>
        <v>0</v>
      </c>
      <c r="G1078" s="16">
        <f ca="1" t="shared" si="102"/>
        <v>0</v>
      </c>
    </row>
    <row r="1079" spans="2:7">
      <c r="B1079" s="17" t="str">
        <f t="shared" si="101"/>
        <v>11/2027</v>
      </c>
      <c r="C1079" s="18">
        <f t="shared" si="104"/>
        <v>46719</v>
      </c>
      <c r="D1079" s="18" t="str">
        <f t="shared" si="105"/>
        <v>28/11/2027 a 04/12/2027</v>
      </c>
      <c r="E1079" s="16">
        <f t="shared" si="106"/>
        <v>5150</v>
      </c>
      <c r="F1079" s="16">
        <f ca="1" t="shared" si="103"/>
        <v>0</v>
      </c>
      <c r="G1079" s="16">
        <f ca="1" t="shared" si="102"/>
        <v>0</v>
      </c>
    </row>
    <row r="1080" spans="2:7">
      <c r="B1080" s="17" t="str">
        <f t="shared" si="101"/>
        <v>12/2027</v>
      </c>
      <c r="C1080" s="18">
        <f t="shared" si="104"/>
        <v>46726</v>
      </c>
      <c r="D1080" s="18" t="str">
        <f t="shared" si="105"/>
        <v>05/12/2027 a 11/12/2027</v>
      </c>
      <c r="E1080" s="16">
        <f>E1075+24</f>
        <v>5166</v>
      </c>
      <c r="F1080" s="16">
        <f ca="1" t="shared" si="103"/>
        <v>0</v>
      </c>
      <c r="G1080" s="16">
        <f ca="1" t="shared" si="102"/>
        <v>0</v>
      </c>
    </row>
    <row r="1081" spans="2:7">
      <c r="B1081" s="17" t="str">
        <f t="shared" ref="B1081:B1144" si="107">MONTH(C1081)&amp;"/"&amp;YEAR(C1081)</f>
        <v>12/2027</v>
      </c>
      <c r="C1081" s="18">
        <f t="shared" si="104"/>
        <v>46726</v>
      </c>
      <c r="D1081" s="18" t="str">
        <f t="shared" si="105"/>
        <v>05/12/2027 a 11/12/2027</v>
      </c>
      <c r="E1081" s="16">
        <f t="shared" si="106"/>
        <v>5168</v>
      </c>
      <c r="F1081" s="16">
        <f ca="1" t="shared" si="103"/>
        <v>0</v>
      </c>
      <c r="G1081" s="16">
        <f ca="1" t="shared" ref="G1081:G1144" si="108">INDIRECT("'Diário'!J"&amp;E1081)</f>
        <v>0</v>
      </c>
    </row>
    <row r="1082" spans="2:7">
      <c r="B1082" s="17" t="str">
        <f t="shared" si="107"/>
        <v>12/2027</v>
      </c>
      <c r="C1082" s="18">
        <f t="shared" si="104"/>
        <v>46726</v>
      </c>
      <c r="D1082" s="18" t="str">
        <f t="shared" si="105"/>
        <v>05/12/2027 a 11/12/2027</v>
      </c>
      <c r="E1082" s="16">
        <f t="shared" si="106"/>
        <v>5170</v>
      </c>
      <c r="F1082" s="16">
        <f ca="1" t="shared" si="103"/>
        <v>0</v>
      </c>
      <c r="G1082" s="16">
        <f ca="1" t="shared" si="108"/>
        <v>0</v>
      </c>
    </row>
    <row r="1083" spans="2:7">
      <c r="B1083" s="17" t="str">
        <f t="shared" si="107"/>
        <v>12/2027</v>
      </c>
      <c r="C1083" s="18">
        <f t="shared" si="104"/>
        <v>46726</v>
      </c>
      <c r="D1083" s="18" t="str">
        <f t="shared" si="105"/>
        <v>05/12/2027 a 11/12/2027</v>
      </c>
      <c r="E1083" s="16">
        <f t="shared" si="106"/>
        <v>5172</v>
      </c>
      <c r="F1083" s="16">
        <f ca="1" t="shared" si="103"/>
        <v>0</v>
      </c>
      <c r="G1083" s="16">
        <f ca="1" t="shared" si="108"/>
        <v>0</v>
      </c>
    </row>
    <row r="1084" spans="2:7">
      <c r="B1084" s="17" t="str">
        <f t="shared" si="107"/>
        <v>12/2027</v>
      </c>
      <c r="C1084" s="18">
        <f t="shared" si="104"/>
        <v>46726</v>
      </c>
      <c r="D1084" s="18" t="str">
        <f t="shared" si="105"/>
        <v>05/12/2027 a 11/12/2027</v>
      </c>
      <c r="E1084" s="16">
        <f t="shared" si="106"/>
        <v>5174</v>
      </c>
      <c r="F1084" s="16">
        <f ca="1" t="shared" si="103"/>
        <v>0</v>
      </c>
      <c r="G1084" s="16">
        <f ca="1" t="shared" si="108"/>
        <v>0</v>
      </c>
    </row>
    <row r="1085" spans="2:7">
      <c r="B1085" s="17" t="str">
        <f t="shared" si="107"/>
        <v>12/2027</v>
      </c>
      <c r="C1085" s="18">
        <f t="shared" si="104"/>
        <v>46733</v>
      </c>
      <c r="D1085" s="18" t="str">
        <f t="shared" si="105"/>
        <v>12/12/2027 a 18/12/2027</v>
      </c>
      <c r="E1085" s="16">
        <f>E1080+24</f>
        <v>5190</v>
      </c>
      <c r="F1085" s="16">
        <f ca="1" t="shared" si="103"/>
        <v>0</v>
      </c>
      <c r="G1085" s="16">
        <f ca="1" t="shared" si="108"/>
        <v>0</v>
      </c>
    </row>
    <row r="1086" spans="2:7">
      <c r="B1086" s="17" t="str">
        <f t="shared" si="107"/>
        <v>12/2027</v>
      </c>
      <c r="C1086" s="18">
        <f t="shared" si="104"/>
        <v>46733</v>
      </c>
      <c r="D1086" s="18" t="str">
        <f t="shared" si="105"/>
        <v>12/12/2027 a 18/12/2027</v>
      </c>
      <c r="E1086" s="16">
        <f t="shared" si="106"/>
        <v>5192</v>
      </c>
      <c r="F1086" s="16">
        <f ca="1" t="shared" ref="F1086:F1149" si="109">INDIRECT("Diário!I"&amp;E1086)</f>
        <v>0</v>
      </c>
      <c r="G1086" s="16">
        <f ca="1" t="shared" si="108"/>
        <v>0</v>
      </c>
    </row>
    <row r="1087" spans="2:7">
      <c r="B1087" s="17" t="str">
        <f t="shared" si="107"/>
        <v>12/2027</v>
      </c>
      <c r="C1087" s="18">
        <f t="shared" si="104"/>
        <v>46733</v>
      </c>
      <c r="D1087" s="18" t="str">
        <f t="shared" si="105"/>
        <v>12/12/2027 a 18/12/2027</v>
      </c>
      <c r="E1087" s="16">
        <f t="shared" si="106"/>
        <v>5194</v>
      </c>
      <c r="F1087" s="16">
        <f ca="1" t="shared" si="109"/>
        <v>0</v>
      </c>
      <c r="G1087" s="16">
        <f ca="1" t="shared" si="108"/>
        <v>0</v>
      </c>
    </row>
    <row r="1088" spans="2:7">
      <c r="B1088" s="17" t="str">
        <f t="shared" si="107"/>
        <v>12/2027</v>
      </c>
      <c r="C1088" s="18">
        <f t="shared" si="104"/>
        <v>46733</v>
      </c>
      <c r="D1088" s="18" t="str">
        <f t="shared" si="105"/>
        <v>12/12/2027 a 18/12/2027</v>
      </c>
      <c r="E1088" s="16">
        <f t="shared" si="106"/>
        <v>5196</v>
      </c>
      <c r="F1088" s="16">
        <f ca="1" t="shared" si="109"/>
        <v>0</v>
      </c>
      <c r="G1088" s="16">
        <f ca="1" t="shared" si="108"/>
        <v>0</v>
      </c>
    </row>
    <row r="1089" spans="2:7">
      <c r="B1089" s="17" t="str">
        <f t="shared" si="107"/>
        <v>12/2027</v>
      </c>
      <c r="C1089" s="18">
        <f t="shared" si="104"/>
        <v>46733</v>
      </c>
      <c r="D1089" s="18" t="str">
        <f t="shared" si="105"/>
        <v>12/12/2027 a 18/12/2027</v>
      </c>
      <c r="E1089" s="16">
        <f t="shared" si="106"/>
        <v>5198</v>
      </c>
      <c r="F1089" s="16">
        <f ca="1" t="shared" si="109"/>
        <v>0</v>
      </c>
      <c r="G1089" s="16">
        <f ca="1" t="shared" si="108"/>
        <v>0</v>
      </c>
    </row>
    <row r="1090" spans="2:7">
      <c r="B1090" s="17" t="str">
        <f t="shared" si="107"/>
        <v>12/2027</v>
      </c>
      <c r="C1090" s="18">
        <f t="shared" si="104"/>
        <v>46740</v>
      </c>
      <c r="D1090" s="18" t="str">
        <f t="shared" si="105"/>
        <v>19/12/2027 a 25/12/2027</v>
      </c>
      <c r="E1090" s="16">
        <f>E1085+24</f>
        <v>5214</v>
      </c>
      <c r="F1090" s="16">
        <f ca="1" t="shared" si="109"/>
        <v>0</v>
      </c>
      <c r="G1090" s="16">
        <f ca="1" t="shared" si="108"/>
        <v>0</v>
      </c>
    </row>
    <row r="1091" spans="2:7">
      <c r="B1091" s="17" t="str">
        <f t="shared" si="107"/>
        <v>12/2027</v>
      </c>
      <c r="C1091" s="18">
        <f t="shared" si="104"/>
        <v>46740</v>
      </c>
      <c r="D1091" s="18" t="str">
        <f t="shared" si="105"/>
        <v>19/12/2027 a 25/12/2027</v>
      </c>
      <c r="E1091" s="16">
        <f t="shared" si="106"/>
        <v>5216</v>
      </c>
      <c r="F1091" s="16">
        <f ca="1" t="shared" si="109"/>
        <v>0</v>
      </c>
      <c r="G1091" s="16">
        <f ca="1" t="shared" si="108"/>
        <v>0</v>
      </c>
    </row>
    <row r="1092" spans="2:7">
      <c r="B1092" s="17" t="str">
        <f t="shared" si="107"/>
        <v>12/2027</v>
      </c>
      <c r="C1092" s="18">
        <f t="shared" si="104"/>
        <v>46740</v>
      </c>
      <c r="D1092" s="18" t="str">
        <f t="shared" si="105"/>
        <v>19/12/2027 a 25/12/2027</v>
      </c>
      <c r="E1092" s="16">
        <f t="shared" si="106"/>
        <v>5218</v>
      </c>
      <c r="F1092" s="16">
        <f ca="1" t="shared" si="109"/>
        <v>0</v>
      </c>
      <c r="G1092" s="16">
        <f ca="1" t="shared" si="108"/>
        <v>0</v>
      </c>
    </row>
    <row r="1093" spans="2:7">
      <c r="B1093" s="17" t="str">
        <f t="shared" si="107"/>
        <v>12/2027</v>
      </c>
      <c r="C1093" s="18">
        <f t="shared" si="104"/>
        <v>46740</v>
      </c>
      <c r="D1093" s="18" t="str">
        <f t="shared" si="105"/>
        <v>19/12/2027 a 25/12/2027</v>
      </c>
      <c r="E1093" s="16">
        <f t="shared" si="106"/>
        <v>5220</v>
      </c>
      <c r="F1093" s="16">
        <f ca="1" t="shared" si="109"/>
        <v>0</v>
      </c>
      <c r="G1093" s="16">
        <f ca="1" t="shared" si="108"/>
        <v>0</v>
      </c>
    </row>
    <row r="1094" spans="2:7">
      <c r="B1094" s="17" t="str">
        <f t="shared" si="107"/>
        <v>12/2027</v>
      </c>
      <c r="C1094" s="18">
        <f t="shared" si="104"/>
        <v>46740</v>
      </c>
      <c r="D1094" s="18" t="str">
        <f t="shared" si="105"/>
        <v>19/12/2027 a 25/12/2027</v>
      </c>
      <c r="E1094" s="16">
        <f t="shared" si="106"/>
        <v>5222</v>
      </c>
      <c r="F1094" s="16">
        <f ca="1" t="shared" si="109"/>
        <v>0</v>
      </c>
      <c r="G1094" s="16">
        <f ca="1" t="shared" si="108"/>
        <v>0</v>
      </c>
    </row>
    <row r="1095" spans="2:7">
      <c r="B1095" s="17" t="str">
        <f t="shared" si="107"/>
        <v>12/2027</v>
      </c>
      <c r="C1095" s="18">
        <f t="shared" si="104"/>
        <v>46747</v>
      </c>
      <c r="D1095" s="18" t="str">
        <f t="shared" si="105"/>
        <v>26/12/2027 a 01/01/2028</v>
      </c>
      <c r="E1095" s="16">
        <f>E1090+24</f>
        <v>5238</v>
      </c>
      <c r="F1095" s="16">
        <f ca="1" t="shared" si="109"/>
        <v>0</v>
      </c>
      <c r="G1095" s="16">
        <f ca="1" t="shared" si="108"/>
        <v>0</v>
      </c>
    </row>
    <row r="1096" spans="2:7">
      <c r="B1096" s="17" t="str">
        <f t="shared" si="107"/>
        <v>12/2027</v>
      </c>
      <c r="C1096" s="18">
        <f t="shared" si="104"/>
        <v>46747</v>
      </c>
      <c r="D1096" s="18" t="str">
        <f t="shared" si="105"/>
        <v>26/12/2027 a 01/01/2028</v>
      </c>
      <c r="E1096" s="16">
        <f t="shared" si="106"/>
        <v>5240</v>
      </c>
      <c r="F1096" s="16">
        <f ca="1" t="shared" si="109"/>
        <v>0</v>
      </c>
      <c r="G1096" s="16">
        <f ca="1" t="shared" si="108"/>
        <v>0</v>
      </c>
    </row>
    <row r="1097" spans="2:7">
      <c r="B1097" s="17" t="str">
        <f t="shared" si="107"/>
        <v>12/2027</v>
      </c>
      <c r="C1097" s="18">
        <f t="shared" si="104"/>
        <v>46747</v>
      </c>
      <c r="D1097" s="18" t="str">
        <f t="shared" si="105"/>
        <v>26/12/2027 a 01/01/2028</v>
      </c>
      <c r="E1097" s="16">
        <f t="shared" si="106"/>
        <v>5242</v>
      </c>
      <c r="F1097" s="16">
        <f ca="1" t="shared" si="109"/>
        <v>0</v>
      </c>
      <c r="G1097" s="16">
        <f ca="1" t="shared" si="108"/>
        <v>0</v>
      </c>
    </row>
    <row r="1098" spans="2:7">
      <c r="B1098" s="17" t="str">
        <f t="shared" si="107"/>
        <v>12/2027</v>
      </c>
      <c r="C1098" s="18">
        <f t="shared" si="104"/>
        <v>46747</v>
      </c>
      <c r="D1098" s="18" t="str">
        <f t="shared" si="105"/>
        <v>26/12/2027 a 01/01/2028</v>
      </c>
      <c r="E1098" s="16">
        <f t="shared" si="106"/>
        <v>5244</v>
      </c>
      <c r="F1098" s="16">
        <f ca="1" t="shared" si="109"/>
        <v>0</v>
      </c>
      <c r="G1098" s="16">
        <f ca="1" t="shared" si="108"/>
        <v>0</v>
      </c>
    </row>
    <row r="1099" spans="2:7">
      <c r="B1099" s="17" t="str">
        <f t="shared" si="107"/>
        <v>12/2027</v>
      </c>
      <c r="C1099" s="18">
        <f t="shared" si="104"/>
        <v>46747</v>
      </c>
      <c r="D1099" s="18" t="str">
        <f t="shared" si="105"/>
        <v>26/12/2027 a 01/01/2028</v>
      </c>
      <c r="E1099" s="16">
        <f t="shared" si="106"/>
        <v>5246</v>
      </c>
      <c r="F1099" s="16">
        <f ca="1" t="shared" si="109"/>
        <v>0</v>
      </c>
      <c r="G1099" s="16">
        <f ca="1" t="shared" si="108"/>
        <v>0</v>
      </c>
    </row>
    <row r="1100" spans="2:7">
      <c r="B1100" s="17" t="str">
        <f t="shared" si="107"/>
        <v>1/2028</v>
      </c>
      <c r="C1100" s="18">
        <f t="shared" si="104"/>
        <v>46754</v>
      </c>
      <c r="D1100" s="18" t="str">
        <f t="shared" si="105"/>
        <v>02/01/2028 a 08/01/2028</v>
      </c>
      <c r="E1100" s="16">
        <f>E1095+24</f>
        <v>5262</v>
      </c>
      <c r="F1100" s="16">
        <f ca="1" t="shared" si="109"/>
        <v>0</v>
      </c>
      <c r="G1100" s="16">
        <f ca="1" t="shared" si="108"/>
        <v>0</v>
      </c>
    </row>
    <row r="1101" spans="2:7">
      <c r="B1101" s="17" t="str">
        <f t="shared" si="107"/>
        <v>1/2028</v>
      </c>
      <c r="C1101" s="18">
        <f t="shared" si="104"/>
        <v>46754</v>
      </c>
      <c r="D1101" s="18" t="str">
        <f t="shared" si="105"/>
        <v>02/01/2028 a 08/01/2028</v>
      </c>
      <c r="E1101" s="16">
        <f t="shared" si="106"/>
        <v>5264</v>
      </c>
      <c r="F1101" s="16">
        <f ca="1" t="shared" si="109"/>
        <v>0</v>
      </c>
      <c r="G1101" s="16">
        <f ca="1" t="shared" si="108"/>
        <v>0</v>
      </c>
    </row>
    <row r="1102" spans="2:7">
      <c r="B1102" s="17" t="str">
        <f t="shared" si="107"/>
        <v>1/2028</v>
      </c>
      <c r="C1102" s="18">
        <f t="shared" si="104"/>
        <v>46754</v>
      </c>
      <c r="D1102" s="18" t="str">
        <f t="shared" si="105"/>
        <v>02/01/2028 a 08/01/2028</v>
      </c>
      <c r="E1102" s="16">
        <f t="shared" si="106"/>
        <v>5266</v>
      </c>
      <c r="F1102" s="16">
        <f ca="1" t="shared" si="109"/>
        <v>0</v>
      </c>
      <c r="G1102" s="16">
        <f ca="1" t="shared" si="108"/>
        <v>0</v>
      </c>
    </row>
    <row r="1103" spans="2:7">
      <c r="B1103" s="17" t="str">
        <f t="shared" si="107"/>
        <v>1/2028</v>
      </c>
      <c r="C1103" s="18">
        <f t="shared" si="104"/>
        <v>46754</v>
      </c>
      <c r="D1103" s="18" t="str">
        <f t="shared" si="105"/>
        <v>02/01/2028 a 08/01/2028</v>
      </c>
      <c r="E1103" s="16">
        <f t="shared" si="106"/>
        <v>5268</v>
      </c>
      <c r="F1103" s="16">
        <f ca="1" t="shared" si="109"/>
        <v>0</v>
      </c>
      <c r="G1103" s="16">
        <f ca="1" t="shared" si="108"/>
        <v>0</v>
      </c>
    </row>
    <row r="1104" spans="2:7">
      <c r="B1104" s="17" t="str">
        <f t="shared" si="107"/>
        <v>1/2028</v>
      </c>
      <c r="C1104" s="18">
        <f t="shared" si="104"/>
        <v>46754</v>
      </c>
      <c r="D1104" s="18" t="str">
        <f t="shared" si="105"/>
        <v>02/01/2028 a 08/01/2028</v>
      </c>
      <c r="E1104" s="16">
        <f t="shared" si="106"/>
        <v>5270</v>
      </c>
      <c r="F1104" s="16">
        <f ca="1" t="shared" si="109"/>
        <v>0</v>
      </c>
      <c r="G1104" s="16">
        <f ca="1" t="shared" si="108"/>
        <v>0</v>
      </c>
    </row>
    <row r="1105" spans="2:7">
      <c r="B1105" s="17" t="str">
        <f t="shared" si="107"/>
        <v>1/2028</v>
      </c>
      <c r="C1105" s="18">
        <f t="shared" si="104"/>
        <v>46761</v>
      </c>
      <c r="D1105" s="18" t="str">
        <f t="shared" si="105"/>
        <v>09/01/2028 a 15/01/2028</v>
      </c>
      <c r="E1105" s="16">
        <f>E1100+24</f>
        <v>5286</v>
      </c>
      <c r="F1105" s="16">
        <f ca="1" t="shared" si="109"/>
        <v>0</v>
      </c>
      <c r="G1105" s="16">
        <f ca="1" t="shared" si="108"/>
        <v>0</v>
      </c>
    </row>
    <row r="1106" spans="2:7">
      <c r="B1106" s="17" t="str">
        <f t="shared" si="107"/>
        <v>1/2028</v>
      </c>
      <c r="C1106" s="18">
        <f t="shared" ref="C1106:C1169" si="110">C1101+7</f>
        <v>46761</v>
      </c>
      <c r="D1106" s="18" t="str">
        <f t="shared" si="105"/>
        <v>09/01/2028 a 15/01/2028</v>
      </c>
      <c r="E1106" s="16">
        <f t="shared" si="106"/>
        <v>5288</v>
      </c>
      <c r="F1106" s="16">
        <f ca="1" t="shared" si="109"/>
        <v>0</v>
      </c>
      <c r="G1106" s="16">
        <f ca="1" t="shared" si="108"/>
        <v>0</v>
      </c>
    </row>
    <row r="1107" spans="2:7">
      <c r="B1107" s="17" t="str">
        <f t="shared" si="107"/>
        <v>1/2028</v>
      </c>
      <c r="C1107" s="18">
        <f t="shared" si="110"/>
        <v>46761</v>
      </c>
      <c r="D1107" s="18" t="str">
        <f t="shared" ref="D1107:D1170" si="111">TEXT((C1107),"DD/MM/AAAA")&amp;" a "&amp;TEXT((C1107+6),"DD/MM/AAAA")</f>
        <v>09/01/2028 a 15/01/2028</v>
      </c>
      <c r="E1107" s="16">
        <f t="shared" si="106"/>
        <v>5290</v>
      </c>
      <c r="F1107" s="16">
        <f ca="1" t="shared" si="109"/>
        <v>0</v>
      </c>
      <c r="G1107" s="16">
        <f ca="1" t="shared" si="108"/>
        <v>0</v>
      </c>
    </row>
    <row r="1108" spans="2:7">
      <c r="B1108" s="17" t="str">
        <f t="shared" si="107"/>
        <v>1/2028</v>
      </c>
      <c r="C1108" s="18">
        <f t="shared" si="110"/>
        <v>46761</v>
      </c>
      <c r="D1108" s="18" t="str">
        <f t="shared" si="111"/>
        <v>09/01/2028 a 15/01/2028</v>
      </c>
      <c r="E1108" s="16">
        <f t="shared" si="106"/>
        <v>5292</v>
      </c>
      <c r="F1108" s="16">
        <f ca="1" t="shared" si="109"/>
        <v>0</v>
      </c>
      <c r="G1108" s="16">
        <f ca="1" t="shared" si="108"/>
        <v>0</v>
      </c>
    </row>
    <row r="1109" spans="2:7">
      <c r="B1109" s="17" t="str">
        <f t="shared" si="107"/>
        <v>1/2028</v>
      </c>
      <c r="C1109" s="18">
        <f t="shared" si="110"/>
        <v>46761</v>
      </c>
      <c r="D1109" s="18" t="str">
        <f t="shared" si="111"/>
        <v>09/01/2028 a 15/01/2028</v>
      </c>
      <c r="E1109" s="16">
        <f t="shared" si="106"/>
        <v>5294</v>
      </c>
      <c r="F1109" s="16">
        <f ca="1" t="shared" si="109"/>
        <v>0</v>
      </c>
      <c r="G1109" s="16">
        <f ca="1" t="shared" si="108"/>
        <v>0</v>
      </c>
    </row>
    <row r="1110" spans="2:7">
      <c r="B1110" s="17" t="str">
        <f t="shared" si="107"/>
        <v>1/2028</v>
      </c>
      <c r="C1110" s="18">
        <f t="shared" si="110"/>
        <v>46768</v>
      </c>
      <c r="D1110" s="18" t="str">
        <f t="shared" si="111"/>
        <v>16/01/2028 a 22/01/2028</v>
      </c>
      <c r="E1110" s="16">
        <f>E1105+24</f>
        <v>5310</v>
      </c>
      <c r="F1110" s="16">
        <f ca="1" t="shared" si="109"/>
        <v>0</v>
      </c>
      <c r="G1110" s="16">
        <f ca="1" t="shared" si="108"/>
        <v>0</v>
      </c>
    </row>
    <row r="1111" spans="2:7">
      <c r="B1111" s="17" t="str">
        <f t="shared" si="107"/>
        <v>1/2028</v>
      </c>
      <c r="C1111" s="18">
        <f t="shared" si="110"/>
        <v>46768</v>
      </c>
      <c r="D1111" s="18" t="str">
        <f t="shared" si="111"/>
        <v>16/01/2028 a 22/01/2028</v>
      </c>
      <c r="E1111" s="16">
        <f t="shared" si="106"/>
        <v>5312</v>
      </c>
      <c r="F1111" s="16">
        <f ca="1" t="shared" si="109"/>
        <v>0</v>
      </c>
      <c r="G1111" s="16">
        <f ca="1" t="shared" si="108"/>
        <v>0</v>
      </c>
    </row>
    <row r="1112" spans="2:7">
      <c r="B1112" s="17" t="str">
        <f t="shared" si="107"/>
        <v>1/2028</v>
      </c>
      <c r="C1112" s="18">
        <f t="shared" si="110"/>
        <v>46768</v>
      </c>
      <c r="D1112" s="18" t="str">
        <f t="shared" si="111"/>
        <v>16/01/2028 a 22/01/2028</v>
      </c>
      <c r="E1112" s="16">
        <f t="shared" si="106"/>
        <v>5314</v>
      </c>
      <c r="F1112" s="16">
        <f ca="1" t="shared" si="109"/>
        <v>0</v>
      </c>
      <c r="G1112" s="16">
        <f ca="1" t="shared" si="108"/>
        <v>0</v>
      </c>
    </row>
    <row r="1113" spans="2:7">
      <c r="B1113" s="17" t="str">
        <f t="shared" si="107"/>
        <v>1/2028</v>
      </c>
      <c r="C1113" s="18">
        <f t="shared" si="110"/>
        <v>46768</v>
      </c>
      <c r="D1113" s="18" t="str">
        <f t="shared" si="111"/>
        <v>16/01/2028 a 22/01/2028</v>
      </c>
      <c r="E1113" s="16">
        <f t="shared" si="106"/>
        <v>5316</v>
      </c>
      <c r="F1113" s="16">
        <f ca="1" t="shared" si="109"/>
        <v>0</v>
      </c>
      <c r="G1113" s="16">
        <f ca="1" t="shared" si="108"/>
        <v>0</v>
      </c>
    </row>
    <row r="1114" spans="2:7">
      <c r="B1114" s="17" t="str">
        <f t="shared" si="107"/>
        <v>1/2028</v>
      </c>
      <c r="C1114" s="18">
        <f t="shared" si="110"/>
        <v>46768</v>
      </c>
      <c r="D1114" s="18" t="str">
        <f t="shared" si="111"/>
        <v>16/01/2028 a 22/01/2028</v>
      </c>
      <c r="E1114" s="16">
        <f t="shared" si="106"/>
        <v>5318</v>
      </c>
      <c r="F1114" s="16">
        <f ca="1" t="shared" si="109"/>
        <v>0</v>
      </c>
      <c r="G1114" s="16">
        <f ca="1" t="shared" si="108"/>
        <v>0</v>
      </c>
    </row>
    <row r="1115" spans="2:7">
      <c r="B1115" s="17" t="str">
        <f t="shared" si="107"/>
        <v>1/2028</v>
      </c>
      <c r="C1115" s="18">
        <f t="shared" si="110"/>
        <v>46775</v>
      </c>
      <c r="D1115" s="18" t="str">
        <f t="shared" si="111"/>
        <v>23/01/2028 a 29/01/2028</v>
      </c>
      <c r="E1115" s="16">
        <f>E1110+24</f>
        <v>5334</v>
      </c>
      <c r="F1115" s="16">
        <f ca="1" t="shared" si="109"/>
        <v>0</v>
      </c>
      <c r="G1115" s="16">
        <f ca="1" t="shared" si="108"/>
        <v>0</v>
      </c>
    </row>
    <row r="1116" spans="2:7">
      <c r="B1116" s="17" t="str">
        <f t="shared" si="107"/>
        <v>1/2028</v>
      </c>
      <c r="C1116" s="18">
        <f t="shared" si="110"/>
        <v>46775</v>
      </c>
      <c r="D1116" s="18" t="str">
        <f t="shared" si="111"/>
        <v>23/01/2028 a 29/01/2028</v>
      </c>
      <c r="E1116" s="16">
        <f t="shared" si="106"/>
        <v>5336</v>
      </c>
      <c r="F1116" s="16">
        <f ca="1" t="shared" si="109"/>
        <v>0</v>
      </c>
      <c r="G1116" s="16">
        <f ca="1" t="shared" si="108"/>
        <v>0</v>
      </c>
    </row>
    <row r="1117" spans="2:7">
      <c r="B1117" s="17" t="str">
        <f t="shared" si="107"/>
        <v>1/2028</v>
      </c>
      <c r="C1117" s="18">
        <f t="shared" si="110"/>
        <v>46775</v>
      </c>
      <c r="D1117" s="18" t="str">
        <f t="shared" si="111"/>
        <v>23/01/2028 a 29/01/2028</v>
      </c>
      <c r="E1117" s="16">
        <f t="shared" si="106"/>
        <v>5338</v>
      </c>
      <c r="F1117" s="16">
        <f ca="1" t="shared" si="109"/>
        <v>0</v>
      </c>
      <c r="G1117" s="16">
        <f ca="1" t="shared" si="108"/>
        <v>0</v>
      </c>
    </row>
    <row r="1118" spans="2:7">
      <c r="B1118" s="17" t="str">
        <f t="shared" si="107"/>
        <v>1/2028</v>
      </c>
      <c r="C1118" s="18">
        <f t="shared" si="110"/>
        <v>46775</v>
      </c>
      <c r="D1118" s="18" t="str">
        <f t="shared" si="111"/>
        <v>23/01/2028 a 29/01/2028</v>
      </c>
      <c r="E1118" s="16">
        <f t="shared" si="106"/>
        <v>5340</v>
      </c>
      <c r="F1118" s="16">
        <f ca="1" t="shared" si="109"/>
        <v>0</v>
      </c>
      <c r="G1118" s="16">
        <f ca="1" t="shared" si="108"/>
        <v>0</v>
      </c>
    </row>
    <row r="1119" spans="2:7">
      <c r="B1119" s="17" t="str">
        <f t="shared" si="107"/>
        <v>1/2028</v>
      </c>
      <c r="C1119" s="18">
        <f t="shared" si="110"/>
        <v>46775</v>
      </c>
      <c r="D1119" s="18" t="str">
        <f t="shared" si="111"/>
        <v>23/01/2028 a 29/01/2028</v>
      </c>
      <c r="E1119" s="16">
        <f t="shared" si="106"/>
        <v>5342</v>
      </c>
      <c r="F1119" s="16">
        <f ca="1" t="shared" si="109"/>
        <v>0</v>
      </c>
      <c r="G1119" s="16">
        <f ca="1" t="shared" si="108"/>
        <v>0</v>
      </c>
    </row>
    <row r="1120" spans="2:7">
      <c r="B1120" s="17" t="str">
        <f t="shared" si="107"/>
        <v>1/2028</v>
      </c>
      <c r="C1120" s="18">
        <f t="shared" si="110"/>
        <v>46782</v>
      </c>
      <c r="D1120" s="18" t="str">
        <f t="shared" si="111"/>
        <v>30/01/2028 a 05/02/2028</v>
      </c>
      <c r="E1120" s="16">
        <f>E1115+24</f>
        <v>5358</v>
      </c>
      <c r="F1120" s="16">
        <f ca="1" t="shared" si="109"/>
        <v>0</v>
      </c>
      <c r="G1120" s="16">
        <f ca="1" t="shared" si="108"/>
        <v>0</v>
      </c>
    </row>
    <row r="1121" spans="2:7">
      <c r="B1121" s="17" t="str">
        <f t="shared" si="107"/>
        <v>1/2028</v>
      </c>
      <c r="C1121" s="18">
        <f t="shared" si="110"/>
        <v>46782</v>
      </c>
      <c r="D1121" s="18" t="str">
        <f t="shared" si="111"/>
        <v>30/01/2028 a 05/02/2028</v>
      </c>
      <c r="E1121" s="16">
        <f t="shared" si="106"/>
        <v>5360</v>
      </c>
      <c r="F1121" s="16">
        <f ca="1" t="shared" si="109"/>
        <v>0</v>
      </c>
      <c r="G1121" s="16">
        <f ca="1" t="shared" si="108"/>
        <v>0</v>
      </c>
    </row>
    <row r="1122" spans="2:7">
      <c r="B1122" s="17" t="str">
        <f t="shared" si="107"/>
        <v>1/2028</v>
      </c>
      <c r="C1122" s="18">
        <f t="shared" si="110"/>
        <v>46782</v>
      </c>
      <c r="D1122" s="18" t="str">
        <f t="shared" si="111"/>
        <v>30/01/2028 a 05/02/2028</v>
      </c>
      <c r="E1122" s="16">
        <f t="shared" si="106"/>
        <v>5362</v>
      </c>
      <c r="F1122" s="16">
        <f ca="1" t="shared" si="109"/>
        <v>0</v>
      </c>
      <c r="G1122" s="16">
        <f ca="1" t="shared" si="108"/>
        <v>0</v>
      </c>
    </row>
    <row r="1123" spans="2:7">
      <c r="B1123" s="17" t="str">
        <f t="shared" si="107"/>
        <v>1/2028</v>
      </c>
      <c r="C1123" s="18">
        <f t="shared" si="110"/>
        <v>46782</v>
      </c>
      <c r="D1123" s="18" t="str">
        <f t="shared" si="111"/>
        <v>30/01/2028 a 05/02/2028</v>
      </c>
      <c r="E1123" s="16">
        <f t="shared" si="106"/>
        <v>5364</v>
      </c>
      <c r="F1123" s="16">
        <f ca="1" t="shared" si="109"/>
        <v>0</v>
      </c>
      <c r="G1123" s="16">
        <f ca="1" t="shared" si="108"/>
        <v>0</v>
      </c>
    </row>
    <row r="1124" spans="2:7">
      <c r="B1124" s="17" t="str">
        <f t="shared" si="107"/>
        <v>1/2028</v>
      </c>
      <c r="C1124" s="18">
        <f t="shared" si="110"/>
        <v>46782</v>
      </c>
      <c r="D1124" s="18" t="str">
        <f t="shared" si="111"/>
        <v>30/01/2028 a 05/02/2028</v>
      </c>
      <c r="E1124" s="16">
        <f t="shared" si="106"/>
        <v>5366</v>
      </c>
      <c r="F1124" s="16">
        <f ca="1" t="shared" si="109"/>
        <v>0</v>
      </c>
      <c r="G1124" s="16">
        <f ca="1" t="shared" si="108"/>
        <v>0</v>
      </c>
    </row>
    <row r="1125" spans="2:7">
      <c r="B1125" s="17" t="str">
        <f t="shared" si="107"/>
        <v>2/2028</v>
      </c>
      <c r="C1125" s="18">
        <f t="shared" si="110"/>
        <v>46789</v>
      </c>
      <c r="D1125" s="18" t="str">
        <f t="shared" si="111"/>
        <v>06/02/2028 a 12/02/2028</v>
      </c>
      <c r="E1125" s="16">
        <f>E1120+24</f>
        <v>5382</v>
      </c>
      <c r="F1125" s="16">
        <f ca="1" t="shared" si="109"/>
        <v>0</v>
      </c>
      <c r="G1125" s="16">
        <f ca="1" t="shared" si="108"/>
        <v>0</v>
      </c>
    </row>
    <row r="1126" spans="2:7">
      <c r="B1126" s="17" t="str">
        <f t="shared" si="107"/>
        <v>2/2028</v>
      </c>
      <c r="C1126" s="18">
        <f t="shared" si="110"/>
        <v>46789</v>
      </c>
      <c r="D1126" s="18" t="str">
        <f t="shared" si="111"/>
        <v>06/02/2028 a 12/02/2028</v>
      </c>
      <c r="E1126" s="16">
        <f t="shared" si="106"/>
        <v>5384</v>
      </c>
      <c r="F1126" s="16">
        <f ca="1" t="shared" si="109"/>
        <v>0</v>
      </c>
      <c r="G1126" s="16">
        <f ca="1" t="shared" si="108"/>
        <v>0</v>
      </c>
    </row>
    <row r="1127" spans="2:7">
      <c r="B1127" s="17" t="str">
        <f t="shared" si="107"/>
        <v>2/2028</v>
      </c>
      <c r="C1127" s="18">
        <f t="shared" si="110"/>
        <v>46789</v>
      </c>
      <c r="D1127" s="18" t="str">
        <f t="shared" si="111"/>
        <v>06/02/2028 a 12/02/2028</v>
      </c>
      <c r="E1127" s="16">
        <f t="shared" si="106"/>
        <v>5386</v>
      </c>
      <c r="F1127" s="16">
        <f ca="1" t="shared" si="109"/>
        <v>0</v>
      </c>
      <c r="G1127" s="16">
        <f ca="1" t="shared" si="108"/>
        <v>0</v>
      </c>
    </row>
    <row r="1128" spans="2:7">
      <c r="B1128" s="17" t="str">
        <f t="shared" si="107"/>
        <v>2/2028</v>
      </c>
      <c r="C1128" s="18">
        <f t="shared" si="110"/>
        <v>46789</v>
      </c>
      <c r="D1128" s="18" t="str">
        <f t="shared" si="111"/>
        <v>06/02/2028 a 12/02/2028</v>
      </c>
      <c r="E1128" s="16">
        <f t="shared" si="106"/>
        <v>5388</v>
      </c>
      <c r="F1128" s="16">
        <f ca="1" t="shared" si="109"/>
        <v>0</v>
      </c>
      <c r="G1128" s="16">
        <f ca="1" t="shared" si="108"/>
        <v>0</v>
      </c>
    </row>
    <row r="1129" spans="2:7">
      <c r="B1129" s="17" t="str">
        <f t="shared" si="107"/>
        <v>2/2028</v>
      </c>
      <c r="C1129" s="18">
        <f t="shared" si="110"/>
        <v>46789</v>
      </c>
      <c r="D1129" s="18" t="str">
        <f t="shared" si="111"/>
        <v>06/02/2028 a 12/02/2028</v>
      </c>
      <c r="E1129" s="16">
        <f t="shared" si="106"/>
        <v>5390</v>
      </c>
      <c r="F1129" s="16">
        <f ca="1" t="shared" si="109"/>
        <v>0</v>
      </c>
      <c r="G1129" s="16">
        <f ca="1" t="shared" si="108"/>
        <v>0</v>
      </c>
    </row>
    <row r="1130" spans="2:7">
      <c r="B1130" s="17" t="str">
        <f t="shared" si="107"/>
        <v>2/2028</v>
      </c>
      <c r="C1130" s="18">
        <f t="shared" si="110"/>
        <v>46796</v>
      </c>
      <c r="D1130" s="18" t="str">
        <f t="shared" si="111"/>
        <v>13/02/2028 a 19/02/2028</v>
      </c>
      <c r="E1130" s="16">
        <f>E1125+24</f>
        <v>5406</v>
      </c>
      <c r="F1130" s="16">
        <f ca="1" t="shared" si="109"/>
        <v>0</v>
      </c>
      <c r="G1130" s="16">
        <f ca="1" t="shared" si="108"/>
        <v>0</v>
      </c>
    </row>
    <row r="1131" spans="2:7">
      <c r="B1131" s="17" t="str">
        <f t="shared" si="107"/>
        <v>2/2028</v>
      </c>
      <c r="C1131" s="18">
        <f t="shared" si="110"/>
        <v>46796</v>
      </c>
      <c r="D1131" s="18" t="str">
        <f t="shared" si="111"/>
        <v>13/02/2028 a 19/02/2028</v>
      </c>
      <c r="E1131" s="16">
        <f t="shared" ref="E1131:E1194" si="112">E1130+2</f>
        <v>5408</v>
      </c>
      <c r="F1131" s="16">
        <f ca="1" t="shared" si="109"/>
        <v>0</v>
      </c>
      <c r="G1131" s="16">
        <f ca="1" t="shared" si="108"/>
        <v>0</v>
      </c>
    </row>
    <row r="1132" spans="2:7">
      <c r="B1132" s="17" t="str">
        <f t="shared" si="107"/>
        <v>2/2028</v>
      </c>
      <c r="C1132" s="18">
        <f t="shared" si="110"/>
        <v>46796</v>
      </c>
      <c r="D1132" s="18" t="str">
        <f t="shared" si="111"/>
        <v>13/02/2028 a 19/02/2028</v>
      </c>
      <c r="E1132" s="16">
        <f t="shared" si="112"/>
        <v>5410</v>
      </c>
      <c r="F1132" s="16">
        <f ca="1" t="shared" si="109"/>
        <v>0</v>
      </c>
      <c r="G1132" s="16">
        <f ca="1" t="shared" si="108"/>
        <v>0</v>
      </c>
    </row>
    <row r="1133" spans="2:7">
      <c r="B1133" s="17" t="str">
        <f t="shared" si="107"/>
        <v>2/2028</v>
      </c>
      <c r="C1133" s="18">
        <f t="shared" si="110"/>
        <v>46796</v>
      </c>
      <c r="D1133" s="18" t="str">
        <f t="shared" si="111"/>
        <v>13/02/2028 a 19/02/2028</v>
      </c>
      <c r="E1133" s="16">
        <f t="shared" si="112"/>
        <v>5412</v>
      </c>
      <c r="F1133" s="16">
        <f ca="1" t="shared" si="109"/>
        <v>0</v>
      </c>
      <c r="G1133" s="16">
        <f ca="1" t="shared" si="108"/>
        <v>0</v>
      </c>
    </row>
    <row r="1134" spans="2:7">
      <c r="B1134" s="17" t="str">
        <f t="shared" si="107"/>
        <v>2/2028</v>
      </c>
      <c r="C1134" s="18">
        <f t="shared" si="110"/>
        <v>46796</v>
      </c>
      <c r="D1134" s="18" t="str">
        <f t="shared" si="111"/>
        <v>13/02/2028 a 19/02/2028</v>
      </c>
      <c r="E1134" s="16">
        <f t="shared" si="112"/>
        <v>5414</v>
      </c>
      <c r="F1134" s="16">
        <f ca="1" t="shared" si="109"/>
        <v>0</v>
      </c>
      <c r="G1134" s="16">
        <f ca="1" t="shared" si="108"/>
        <v>0</v>
      </c>
    </row>
    <row r="1135" spans="2:7">
      <c r="B1135" s="17" t="str">
        <f t="shared" si="107"/>
        <v>2/2028</v>
      </c>
      <c r="C1135" s="18">
        <f t="shared" si="110"/>
        <v>46803</v>
      </c>
      <c r="D1135" s="18" t="str">
        <f t="shared" si="111"/>
        <v>20/02/2028 a 26/02/2028</v>
      </c>
      <c r="E1135" s="16">
        <f>E1130+24</f>
        <v>5430</v>
      </c>
      <c r="F1135" s="16">
        <f ca="1" t="shared" si="109"/>
        <v>0</v>
      </c>
      <c r="G1135" s="16">
        <f ca="1" t="shared" si="108"/>
        <v>0</v>
      </c>
    </row>
    <row r="1136" spans="2:7">
      <c r="B1136" s="17" t="str">
        <f t="shared" si="107"/>
        <v>2/2028</v>
      </c>
      <c r="C1136" s="18">
        <f t="shared" si="110"/>
        <v>46803</v>
      </c>
      <c r="D1136" s="18" t="str">
        <f t="shared" si="111"/>
        <v>20/02/2028 a 26/02/2028</v>
      </c>
      <c r="E1136" s="16">
        <f t="shared" si="112"/>
        <v>5432</v>
      </c>
      <c r="F1136" s="16">
        <f ca="1" t="shared" si="109"/>
        <v>0</v>
      </c>
      <c r="G1136" s="16">
        <f ca="1" t="shared" si="108"/>
        <v>0</v>
      </c>
    </row>
    <row r="1137" spans="2:7">
      <c r="B1137" s="17" t="str">
        <f t="shared" si="107"/>
        <v>2/2028</v>
      </c>
      <c r="C1137" s="18">
        <f t="shared" si="110"/>
        <v>46803</v>
      </c>
      <c r="D1137" s="18" t="str">
        <f t="shared" si="111"/>
        <v>20/02/2028 a 26/02/2028</v>
      </c>
      <c r="E1137" s="16">
        <f t="shared" si="112"/>
        <v>5434</v>
      </c>
      <c r="F1137" s="16">
        <f ca="1" t="shared" si="109"/>
        <v>0</v>
      </c>
      <c r="G1137" s="16">
        <f ca="1" t="shared" si="108"/>
        <v>0</v>
      </c>
    </row>
    <row r="1138" spans="2:7">
      <c r="B1138" s="17" t="str">
        <f t="shared" si="107"/>
        <v>2/2028</v>
      </c>
      <c r="C1138" s="18">
        <f t="shared" si="110"/>
        <v>46803</v>
      </c>
      <c r="D1138" s="18" t="str">
        <f t="shared" si="111"/>
        <v>20/02/2028 a 26/02/2028</v>
      </c>
      <c r="E1138" s="16">
        <f t="shared" si="112"/>
        <v>5436</v>
      </c>
      <c r="F1138" s="16">
        <f ca="1" t="shared" si="109"/>
        <v>0</v>
      </c>
      <c r="G1138" s="16">
        <f ca="1" t="shared" si="108"/>
        <v>0</v>
      </c>
    </row>
    <row r="1139" spans="2:7">
      <c r="B1139" s="17" t="str">
        <f t="shared" si="107"/>
        <v>2/2028</v>
      </c>
      <c r="C1139" s="18">
        <f t="shared" si="110"/>
        <v>46803</v>
      </c>
      <c r="D1139" s="18" t="str">
        <f t="shared" si="111"/>
        <v>20/02/2028 a 26/02/2028</v>
      </c>
      <c r="E1139" s="16">
        <f t="shared" si="112"/>
        <v>5438</v>
      </c>
      <c r="F1139" s="16">
        <f ca="1" t="shared" si="109"/>
        <v>0</v>
      </c>
      <c r="G1139" s="16">
        <f ca="1" t="shared" si="108"/>
        <v>0</v>
      </c>
    </row>
    <row r="1140" spans="2:7">
      <c r="B1140" s="17" t="str">
        <f t="shared" si="107"/>
        <v>2/2028</v>
      </c>
      <c r="C1140" s="18">
        <f t="shared" si="110"/>
        <v>46810</v>
      </c>
      <c r="D1140" s="18" t="str">
        <f t="shared" si="111"/>
        <v>27/02/2028 a 04/03/2028</v>
      </c>
      <c r="E1140" s="16">
        <f>E1135+24</f>
        <v>5454</v>
      </c>
      <c r="F1140" s="16">
        <f ca="1" t="shared" si="109"/>
        <v>0</v>
      </c>
      <c r="G1140" s="16">
        <f ca="1" t="shared" si="108"/>
        <v>0</v>
      </c>
    </row>
    <row r="1141" spans="2:7">
      <c r="B1141" s="17" t="str">
        <f t="shared" si="107"/>
        <v>2/2028</v>
      </c>
      <c r="C1141" s="18">
        <f t="shared" si="110"/>
        <v>46810</v>
      </c>
      <c r="D1141" s="18" t="str">
        <f t="shared" si="111"/>
        <v>27/02/2028 a 04/03/2028</v>
      </c>
      <c r="E1141" s="16">
        <f t="shared" si="112"/>
        <v>5456</v>
      </c>
      <c r="F1141" s="16">
        <f ca="1" t="shared" si="109"/>
        <v>0</v>
      </c>
      <c r="G1141" s="16">
        <f ca="1" t="shared" si="108"/>
        <v>0</v>
      </c>
    </row>
    <row r="1142" spans="2:7">
      <c r="B1142" s="17" t="str">
        <f t="shared" si="107"/>
        <v>2/2028</v>
      </c>
      <c r="C1142" s="18">
        <f t="shared" si="110"/>
        <v>46810</v>
      </c>
      <c r="D1142" s="18" t="str">
        <f t="shared" si="111"/>
        <v>27/02/2028 a 04/03/2028</v>
      </c>
      <c r="E1142" s="16">
        <f t="shared" si="112"/>
        <v>5458</v>
      </c>
      <c r="F1142" s="16">
        <f ca="1" t="shared" si="109"/>
        <v>0</v>
      </c>
      <c r="G1142" s="16">
        <f ca="1" t="shared" si="108"/>
        <v>0</v>
      </c>
    </row>
    <row r="1143" spans="2:7">
      <c r="B1143" s="17" t="str">
        <f t="shared" si="107"/>
        <v>2/2028</v>
      </c>
      <c r="C1143" s="18">
        <f t="shared" si="110"/>
        <v>46810</v>
      </c>
      <c r="D1143" s="18" t="str">
        <f t="shared" si="111"/>
        <v>27/02/2028 a 04/03/2028</v>
      </c>
      <c r="E1143" s="16">
        <f t="shared" si="112"/>
        <v>5460</v>
      </c>
      <c r="F1143" s="16">
        <f ca="1" t="shared" si="109"/>
        <v>0</v>
      </c>
      <c r="G1143" s="16">
        <f ca="1" t="shared" si="108"/>
        <v>0</v>
      </c>
    </row>
    <row r="1144" spans="2:7">
      <c r="B1144" s="17" t="str">
        <f t="shared" si="107"/>
        <v>2/2028</v>
      </c>
      <c r="C1144" s="18">
        <f t="shared" si="110"/>
        <v>46810</v>
      </c>
      <c r="D1144" s="18" t="str">
        <f t="shared" si="111"/>
        <v>27/02/2028 a 04/03/2028</v>
      </c>
      <c r="E1144" s="16">
        <f t="shared" si="112"/>
        <v>5462</v>
      </c>
      <c r="F1144" s="16">
        <f ca="1" t="shared" si="109"/>
        <v>0</v>
      </c>
      <c r="G1144" s="16">
        <f ca="1" t="shared" si="108"/>
        <v>0</v>
      </c>
    </row>
    <row r="1145" spans="2:7">
      <c r="B1145" s="17" t="str">
        <f t="shared" ref="B1145:B1208" si="113">MONTH(C1145)&amp;"/"&amp;YEAR(C1145)</f>
        <v>3/2028</v>
      </c>
      <c r="C1145" s="18">
        <f t="shared" si="110"/>
        <v>46817</v>
      </c>
      <c r="D1145" s="18" t="str">
        <f t="shared" si="111"/>
        <v>05/03/2028 a 11/03/2028</v>
      </c>
      <c r="E1145" s="16">
        <f>E1140+24</f>
        <v>5478</v>
      </c>
      <c r="F1145" s="16">
        <f ca="1" t="shared" si="109"/>
        <v>0</v>
      </c>
      <c r="G1145" s="16">
        <f ca="1" t="shared" ref="G1145:G1208" si="114">INDIRECT("'Diário'!J"&amp;E1145)</f>
        <v>0</v>
      </c>
    </row>
    <row r="1146" spans="2:7">
      <c r="B1146" s="17" t="str">
        <f t="shared" si="113"/>
        <v>3/2028</v>
      </c>
      <c r="C1146" s="18">
        <f t="shared" si="110"/>
        <v>46817</v>
      </c>
      <c r="D1146" s="18" t="str">
        <f t="shared" si="111"/>
        <v>05/03/2028 a 11/03/2028</v>
      </c>
      <c r="E1146" s="16">
        <f t="shared" si="112"/>
        <v>5480</v>
      </c>
      <c r="F1146" s="16">
        <f ca="1" t="shared" si="109"/>
        <v>0</v>
      </c>
      <c r="G1146" s="16">
        <f ca="1" t="shared" si="114"/>
        <v>0</v>
      </c>
    </row>
    <row r="1147" spans="2:7">
      <c r="B1147" s="17" t="str">
        <f t="shared" si="113"/>
        <v>3/2028</v>
      </c>
      <c r="C1147" s="18">
        <f t="shared" si="110"/>
        <v>46817</v>
      </c>
      <c r="D1147" s="18" t="str">
        <f t="shared" si="111"/>
        <v>05/03/2028 a 11/03/2028</v>
      </c>
      <c r="E1147" s="16">
        <f t="shared" si="112"/>
        <v>5482</v>
      </c>
      <c r="F1147" s="16">
        <f ca="1" t="shared" si="109"/>
        <v>0</v>
      </c>
      <c r="G1147" s="16">
        <f ca="1" t="shared" si="114"/>
        <v>0</v>
      </c>
    </row>
    <row r="1148" spans="2:7">
      <c r="B1148" s="17" t="str">
        <f t="shared" si="113"/>
        <v>3/2028</v>
      </c>
      <c r="C1148" s="18">
        <f t="shared" si="110"/>
        <v>46817</v>
      </c>
      <c r="D1148" s="18" t="str">
        <f t="shared" si="111"/>
        <v>05/03/2028 a 11/03/2028</v>
      </c>
      <c r="E1148" s="16">
        <f t="shared" si="112"/>
        <v>5484</v>
      </c>
      <c r="F1148" s="16">
        <f ca="1" t="shared" si="109"/>
        <v>0</v>
      </c>
      <c r="G1148" s="16">
        <f ca="1" t="shared" si="114"/>
        <v>0</v>
      </c>
    </row>
    <row r="1149" spans="2:7">
      <c r="B1149" s="17" t="str">
        <f t="shared" si="113"/>
        <v>3/2028</v>
      </c>
      <c r="C1149" s="18">
        <f t="shared" si="110"/>
        <v>46817</v>
      </c>
      <c r="D1149" s="18" t="str">
        <f t="shared" si="111"/>
        <v>05/03/2028 a 11/03/2028</v>
      </c>
      <c r="E1149" s="16">
        <f t="shared" si="112"/>
        <v>5486</v>
      </c>
      <c r="F1149" s="16">
        <f ca="1" t="shared" si="109"/>
        <v>0</v>
      </c>
      <c r="G1149" s="16">
        <f ca="1" t="shared" si="114"/>
        <v>0</v>
      </c>
    </row>
    <row r="1150" spans="2:7">
      <c r="B1150" s="17" t="str">
        <f t="shared" si="113"/>
        <v>3/2028</v>
      </c>
      <c r="C1150" s="18">
        <f t="shared" si="110"/>
        <v>46824</v>
      </c>
      <c r="D1150" s="18" t="str">
        <f t="shared" si="111"/>
        <v>12/03/2028 a 18/03/2028</v>
      </c>
      <c r="E1150" s="16">
        <f>E1145+24</f>
        <v>5502</v>
      </c>
      <c r="F1150" s="16">
        <f ca="1" t="shared" ref="F1150:F1213" si="115">INDIRECT("Diário!I"&amp;E1150)</f>
        <v>0</v>
      </c>
      <c r="G1150" s="16">
        <f ca="1" t="shared" si="114"/>
        <v>0</v>
      </c>
    </row>
    <row r="1151" spans="2:7">
      <c r="B1151" s="17" t="str">
        <f t="shared" si="113"/>
        <v>3/2028</v>
      </c>
      <c r="C1151" s="18">
        <f t="shared" si="110"/>
        <v>46824</v>
      </c>
      <c r="D1151" s="18" t="str">
        <f t="shared" si="111"/>
        <v>12/03/2028 a 18/03/2028</v>
      </c>
      <c r="E1151" s="16">
        <f t="shared" si="112"/>
        <v>5504</v>
      </c>
      <c r="F1151" s="16">
        <f ca="1" t="shared" si="115"/>
        <v>0</v>
      </c>
      <c r="G1151" s="16">
        <f ca="1" t="shared" si="114"/>
        <v>0</v>
      </c>
    </row>
    <row r="1152" spans="2:7">
      <c r="B1152" s="17" t="str">
        <f t="shared" si="113"/>
        <v>3/2028</v>
      </c>
      <c r="C1152" s="18">
        <f t="shared" si="110"/>
        <v>46824</v>
      </c>
      <c r="D1152" s="18" t="str">
        <f t="shared" si="111"/>
        <v>12/03/2028 a 18/03/2028</v>
      </c>
      <c r="E1152" s="16">
        <f t="shared" si="112"/>
        <v>5506</v>
      </c>
      <c r="F1152" s="16">
        <f ca="1" t="shared" si="115"/>
        <v>0</v>
      </c>
      <c r="G1152" s="16">
        <f ca="1" t="shared" si="114"/>
        <v>0</v>
      </c>
    </row>
    <row r="1153" spans="2:7">
      <c r="B1153" s="17" t="str">
        <f t="shared" si="113"/>
        <v>3/2028</v>
      </c>
      <c r="C1153" s="18">
        <f t="shared" si="110"/>
        <v>46824</v>
      </c>
      <c r="D1153" s="18" t="str">
        <f t="shared" si="111"/>
        <v>12/03/2028 a 18/03/2028</v>
      </c>
      <c r="E1153" s="16">
        <f t="shared" si="112"/>
        <v>5508</v>
      </c>
      <c r="F1153" s="16">
        <f ca="1" t="shared" si="115"/>
        <v>0</v>
      </c>
      <c r="G1153" s="16">
        <f ca="1" t="shared" si="114"/>
        <v>0</v>
      </c>
    </row>
    <row r="1154" spans="2:7">
      <c r="B1154" s="17" t="str">
        <f t="shared" si="113"/>
        <v>3/2028</v>
      </c>
      <c r="C1154" s="18">
        <f t="shared" si="110"/>
        <v>46824</v>
      </c>
      <c r="D1154" s="18" t="str">
        <f t="shared" si="111"/>
        <v>12/03/2028 a 18/03/2028</v>
      </c>
      <c r="E1154" s="16">
        <f t="shared" si="112"/>
        <v>5510</v>
      </c>
      <c r="F1154" s="16">
        <f ca="1" t="shared" si="115"/>
        <v>0</v>
      </c>
      <c r="G1154" s="16">
        <f ca="1" t="shared" si="114"/>
        <v>0</v>
      </c>
    </row>
    <row r="1155" spans="2:7">
      <c r="B1155" s="17" t="str">
        <f t="shared" si="113"/>
        <v>3/2028</v>
      </c>
      <c r="C1155" s="18">
        <f t="shared" si="110"/>
        <v>46831</v>
      </c>
      <c r="D1155" s="18" t="str">
        <f t="shared" si="111"/>
        <v>19/03/2028 a 25/03/2028</v>
      </c>
      <c r="E1155" s="16">
        <f>E1150+24</f>
        <v>5526</v>
      </c>
      <c r="F1155" s="16">
        <f ca="1" t="shared" si="115"/>
        <v>0</v>
      </c>
      <c r="G1155" s="16">
        <f ca="1" t="shared" si="114"/>
        <v>0</v>
      </c>
    </row>
    <row r="1156" spans="2:7">
      <c r="B1156" s="17" t="str">
        <f t="shared" si="113"/>
        <v>3/2028</v>
      </c>
      <c r="C1156" s="18">
        <f t="shared" si="110"/>
        <v>46831</v>
      </c>
      <c r="D1156" s="18" t="str">
        <f t="shared" si="111"/>
        <v>19/03/2028 a 25/03/2028</v>
      </c>
      <c r="E1156" s="16">
        <f t="shared" si="112"/>
        <v>5528</v>
      </c>
      <c r="F1156" s="16">
        <f ca="1" t="shared" si="115"/>
        <v>0</v>
      </c>
      <c r="G1156" s="16">
        <f ca="1" t="shared" si="114"/>
        <v>0</v>
      </c>
    </row>
    <row r="1157" spans="2:7">
      <c r="B1157" s="17" t="str">
        <f t="shared" si="113"/>
        <v>3/2028</v>
      </c>
      <c r="C1157" s="18">
        <f t="shared" si="110"/>
        <v>46831</v>
      </c>
      <c r="D1157" s="18" t="str">
        <f t="shared" si="111"/>
        <v>19/03/2028 a 25/03/2028</v>
      </c>
      <c r="E1157" s="16">
        <f t="shared" si="112"/>
        <v>5530</v>
      </c>
      <c r="F1157" s="16">
        <f ca="1" t="shared" si="115"/>
        <v>0</v>
      </c>
      <c r="G1157" s="16">
        <f ca="1" t="shared" si="114"/>
        <v>0</v>
      </c>
    </row>
    <row r="1158" spans="2:7">
      <c r="B1158" s="17" t="str">
        <f t="shared" si="113"/>
        <v>3/2028</v>
      </c>
      <c r="C1158" s="18">
        <f t="shared" si="110"/>
        <v>46831</v>
      </c>
      <c r="D1158" s="18" t="str">
        <f t="shared" si="111"/>
        <v>19/03/2028 a 25/03/2028</v>
      </c>
      <c r="E1158" s="16">
        <f t="shared" si="112"/>
        <v>5532</v>
      </c>
      <c r="F1158" s="16">
        <f ca="1" t="shared" si="115"/>
        <v>0</v>
      </c>
      <c r="G1158" s="16">
        <f ca="1" t="shared" si="114"/>
        <v>0</v>
      </c>
    </row>
    <row r="1159" spans="2:7">
      <c r="B1159" s="17" t="str">
        <f t="shared" si="113"/>
        <v>3/2028</v>
      </c>
      <c r="C1159" s="18">
        <f t="shared" si="110"/>
        <v>46831</v>
      </c>
      <c r="D1159" s="18" t="str">
        <f t="shared" si="111"/>
        <v>19/03/2028 a 25/03/2028</v>
      </c>
      <c r="E1159" s="16">
        <f t="shared" si="112"/>
        <v>5534</v>
      </c>
      <c r="F1159" s="16">
        <f ca="1" t="shared" si="115"/>
        <v>0</v>
      </c>
      <c r="G1159" s="16">
        <f ca="1" t="shared" si="114"/>
        <v>0</v>
      </c>
    </row>
    <row r="1160" spans="2:7">
      <c r="B1160" s="17" t="str">
        <f t="shared" si="113"/>
        <v>3/2028</v>
      </c>
      <c r="C1160" s="18">
        <f t="shared" si="110"/>
        <v>46838</v>
      </c>
      <c r="D1160" s="18" t="str">
        <f t="shared" si="111"/>
        <v>26/03/2028 a 01/04/2028</v>
      </c>
      <c r="E1160" s="16">
        <f>E1155+24</f>
        <v>5550</v>
      </c>
      <c r="F1160" s="16">
        <f ca="1" t="shared" si="115"/>
        <v>0</v>
      </c>
      <c r="G1160" s="16">
        <f ca="1" t="shared" si="114"/>
        <v>0</v>
      </c>
    </row>
    <row r="1161" spans="2:7">
      <c r="B1161" s="17" t="str">
        <f t="shared" si="113"/>
        <v>3/2028</v>
      </c>
      <c r="C1161" s="18">
        <f t="shared" si="110"/>
        <v>46838</v>
      </c>
      <c r="D1161" s="18" t="str">
        <f t="shared" si="111"/>
        <v>26/03/2028 a 01/04/2028</v>
      </c>
      <c r="E1161" s="16">
        <f t="shared" si="112"/>
        <v>5552</v>
      </c>
      <c r="F1161" s="16">
        <f ca="1" t="shared" si="115"/>
        <v>0</v>
      </c>
      <c r="G1161" s="16">
        <f ca="1" t="shared" si="114"/>
        <v>0</v>
      </c>
    </row>
    <row r="1162" spans="2:7">
      <c r="B1162" s="17" t="str">
        <f t="shared" si="113"/>
        <v>3/2028</v>
      </c>
      <c r="C1162" s="18">
        <f t="shared" si="110"/>
        <v>46838</v>
      </c>
      <c r="D1162" s="18" t="str">
        <f t="shared" si="111"/>
        <v>26/03/2028 a 01/04/2028</v>
      </c>
      <c r="E1162" s="16">
        <f t="shared" si="112"/>
        <v>5554</v>
      </c>
      <c r="F1162" s="16">
        <f ca="1" t="shared" si="115"/>
        <v>0</v>
      </c>
      <c r="G1162" s="16">
        <f ca="1" t="shared" si="114"/>
        <v>0</v>
      </c>
    </row>
    <row r="1163" spans="2:7">
      <c r="B1163" s="17" t="str">
        <f t="shared" si="113"/>
        <v>3/2028</v>
      </c>
      <c r="C1163" s="18">
        <f t="shared" si="110"/>
        <v>46838</v>
      </c>
      <c r="D1163" s="18" t="str">
        <f t="shared" si="111"/>
        <v>26/03/2028 a 01/04/2028</v>
      </c>
      <c r="E1163" s="16">
        <f t="shared" si="112"/>
        <v>5556</v>
      </c>
      <c r="F1163" s="16">
        <f ca="1" t="shared" si="115"/>
        <v>0</v>
      </c>
      <c r="G1163" s="16">
        <f ca="1" t="shared" si="114"/>
        <v>0</v>
      </c>
    </row>
    <row r="1164" spans="2:7">
      <c r="B1164" s="17" t="str">
        <f t="shared" si="113"/>
        <v>3/2028</v>
      </c>
      <c r="C1164" s="18">
        <f t="shared" si="110"/>
        <v>46838</v>
      </c>
      <c r="D1164" s="18" t="str">
        <f t="shared" si="111"/>
        <v>26/03/2028 a 01/04/2028</v>
      </c>
      <c r="E1164" s="16">
        <f t="shared" si="112"/>
        <v>5558</v>
      </c>
      <c r="F1164" s="16">
        <f ca="1" t="shared" si="115"/>
        <v>0</v>
      </c>
      <c r="G1164" s="16">
        <f ca="1" t="shared" si="114"/>
        <v>0</v>
      </c>
    </row>
    <row r="1165" spans="2:7">
      <c r="B1165" s="17" t="str">
        <f t="shared" si="113"/>
        <v>4/2028</v>
      </c>
      <c r="C1165" s="18">
        <f t="shared" si="110"/>
        <v>46845</v>
      </c>
      <c r="D1165" s="18" t="str">
        <f t="shared" si="111"/>
        <v>02/04/2028 a 08/04/2028</v>
      </c>
      <c r="E1165" s="16">
        <f>E1160+24</f>
        <v>5574</v>
      </c>
      <c r="F1165" s="16">
        <f ca="1" t="shared" si="115"/>
        <v>0</v>
      </c>
      <c r="G1165" s="16">
        <f ca="1" t="shared" si="114"/>
        <v>0</v>
      </c>
    </row>
    <row r="1166" spans="2:7">
      <c r="B1166" s="17" t="str">
        <f t="shared" si="113"/>
        <v>4/2028</v>
      </c>
      <c r="C1166" s="18">
        <f t="shared" si="110"/>
        <v>46845</v>
      </c>
      <c r="D1166" s="18" t="str">
        <f t="shared" si="111"/>
        <v>02/04/2028 a 08/04/2028</v>
      </c>
      <c r="E1166" s="16">
        <f t="shared" si="112"/>
        <v>5576</v>
      </c>
      <c r="F1166" s="16">
        <f ca="1" t="shared" si="115"/>
        <v>0</v>
      </c>
      <c r="G1166" s="16">
        <f ca="1" t="shared" si="114"/>
        <v>0</v>
      </c>
    </row>
    <row r="1167" spans="2:7">
      <c r="B1167" s="17" t="str">
        <f t="shared" si="113"/>
        <v>4/2028</v>
      </c>
      <c r="C1167" s="18">
        <f t="shared" si="110"/>
        <v>46845</v>
      </c>
      <c r="D1167" s="18" t="str">
        <f t="shared" si="111"/>
        <v>02/04/2028 a 08/04/2028</v>
      </c>
      <c r="E1167" s="16">
        <f t="shared" si="112"/>
        <v>5578</v>
      </c>
      <c r="F1167" s="16">
        <f ca="1" t="shared" si="115"/>
        <v>0</v>
      </c>
      <c r="G1167" s="16">
        <f ca="1" t="shared" si="114"/>
        <v>0</v>
      </c>
    </row>
    <row r="1168" spans="2:7">
      <c r="B1168" s="17" t="str">
        <f t="shared" si="113"/>
        <v>4/2028</v>
      </c>
      <c r="C1168" s="18">
        <f t="shared" si="110"/>
        <v>46845</v>
      </c>
      <c r="D1168" s="18" t="str">
        <f t="shared" si="111"/>
        <v>02/04/2028 a 08/04/2028</v>
      </c>
      <c r="E1168" s="16">
        <f t="shared" si="112"/>
        <v>5580</v>
      </c>
      <c r="F1168" s="16">
        <f ca="1" t="shared" si="115"/>
        <v>0</v>
      </c>
      <c r="G1168" s="16">
        <f ca="1" t="shared" si="114"/>
        <v>0</v>
      </c>
    </row>
    <row r="1169" spans="2:7">
      <c r="B1169" s="17" t="str">
        <f t="shared" si="113"/>
        <v>4/2028</v>
      </c>
      <c r="C1169" s="18">
        <f t="shared" si="110"/>
        <v>46845</v>
      </c>
      <c r="D1169" s="18" t="str">
        <f t="shared" si="111"/>
        <v>02/04/2028 a 08/04/2028</v>
      </c>
      <c r="E1169" s="16">
        <f t="shared" si="112"/>
        <v>5582</v>
      </c>
      <c r="F1169" s="16">
        <f ca="1" t="shared" si="115"/>
        <v>0</v>
      </c>
      <c r="G1169" s="16">
        <f ca="1" t="shared" si="114"/>
        <v>0</v>
      </c>
    </row>
    <row r="1170" spans="2:7">
      <c r="B1170" s="17" t="str">
        <f t="shared" si="113"/>
        <v>4/2028</v>
      </c>
      <c r="C1170" s="18">
        <f t="shared" ref="C1170:C1233" si="116">C1165+7</f>
        <v>46852</v>
      </c>
      <c r="D1170" s="18" t="str">
        <f t="shared" si="111"/>
        <v>09/04/2028 a 15/04/2028</v>
      </c>
      <c r="E1170" s="16">
        <f>E1165+24</f>
        <v>5598</v>
      </c>
      <c r="F1170" s="16">
        <f ca="1" t="shared" si="115"/>
        <v>0</v>
      </c>
      <c r="G1170" s="16">
        <f ca="1" t="shared" si="114"/>
        <v>0</v>
      </c>
    </row>
    <row r="1171" spans="2:7">
      <c r="B1171" s="17" t="str">
        <f t="shared" si="113"/>
        <v>4/2028</v>
      </c>
      <c r="C1171" s="18">
        <f t="shared" si="116"/>
        <v>46852</v>
      </c>
      <c r="D1171" s="18" t="str">
        <f t="shared" ref="D1171:D1234" si="117">TEXT((C1171),"DD/MM/AAAA")&amp;" a "&amp;TEXT((C1171+6),"DD/MM/AAAA")</f>
        <v>09/04/2028 a 15/04/2028</v>
      </c>
      <c r="E1171" s="16">
        <f t="shared" si="112"/>
        <v>5600</v>
      </c>
      <c r="F1171" s="16">
        <f ca="1" t="shared" si="115"/>
        <v>0</v>
      </c>
      <c r="G1171" s="16">
        <f ca="1" t="shared" si="114"/>
        <v>0</v>
      </c>
    </row>
    <row r="1172" spans="2:7">
      <c r="B1172" s="17" t="str">
        <f t="shared" si="113"/>
        <v>4/2028</v>
      </c>
      <c r="C1172" s="18">
        <f t="shared" si="116"/>
        <v>46852</v>
      </c>
      <c r="D1172" s="18" t="str">
        <f t="shared" si="117"/>
        <v>09/04/2028 a 15/04/2028</v>
      </c>
      <c r="E1172" s="16">
        <f t="shared" si="112"/>
        <v>5602</v>
      </c>
      <c r="F1172" s="16">
        <f ca="1" t="shared" si="115"/>
        <v>0</v>
      </c>
      <c r="G1172" s="16">
        <f ca="1" t="shared" si="114"/>
        <v>0</v>
      </c>
    </row>
    <row r="1173" spans="2:7">
      <c r="B1173" s="17" t="str">
        <f t="shared" si="113"/>
        <v>4/2028</v>
      </c>
      <c r="C1173" s="18">
        <f t="shared" si="116"/>
        <v>46852</v>
      </c>
      <c r="D1173" s="18" t="str">
        <f t="shared" si="117"/>
        <v>09/04/2028 a 15/04/2028</v>
      </c>
      <c r="E1173" s="16">
        <f t="shared" si="112"/>
        <v>5604</v>
      </c>
      <c r="F1173" s="16">
        <f ca="1" t="shared" si="115"/>
        <v>0</v>
      </c>
      <c r="G1173" s="16">
        <f ca="1" t="shared" si="114"/>
        <v>0</v>
      </c>
    </row>
    <row r="1174" spans="2:7">
      <c r="B1174" s="17" t="str">
        <f t="shared" si="113"/>
        <v>4/2028</v>
      </c>
      <c r="C1174" s="18">
        <f t="shared" si="116"/>
        <v>46852</v>
      </c>
      <c r="D1174" s="18" t="str">
        <f t="shared" si="117"/>
        <v>09/04/2028 a 15/04/2028</v>
      </c>
      <c r="E1174" s="16">
        <f t="shared" si="112"/>
        <v>5606</v>
      </c>
      <c r="F1174" s="16">
        <f ca="1" t="shared" si="115"/>
        <v>0</v>
      </c>
      <c r="G1174" s="16">
        <f ca="1" t="shared" si="114"/>
        <v>0</v>
      </c>
    </row>
    <row r="1175" spans="2:7">
      <c r="B1175" s="17" t="str">
        <f t="shared" si="113"/>
        <v>4/2028</v>
      </c>
      <c r="C1175" s="18">
        <f t="shared" si="116"/>
        <v>46859</v>
      </c>
      <c r="D1175" s="18" t="str">
        <f t="shared" si="117"/>
        <v>16/04/2028 a 22/04/2028</v>
      </c>
      <c r="E1175" s="16">
        <f>E1170+24</f>
        <v>5622</v>
      </c>
      <c r="F1175" s="16">
        <f ca="1" t="shared" si="115"/>
        <v>0</v>
      </c>
      <c r="G1175" s="16">
        <f ca="1" t="shared" si="114"/>
        <v>0</v>
      </c>
    </row>
    <row r="1176" spans="2:7">
      <c r="B1176" s="17" t="str">
        <f t="shared" si="113"/>
        <v>4/2028</v>
      </c>
      <c r="C1176" s="18">
        <f t="shared" si="116"/>
        <v>46859</v>
      </c>
      <c r="D1176" s="18" t="str">
        <f t="shared" si="117"/>
        <v>16/04/2028 a 22/04/2028</v>
      </c>
      <c r="E1176" s="16">
        <f t="shared" si="112"/>
        <v>5624</v>
      </c>
      <c r="F1176" s="16">
        <f ca="1" t="shared" si="115"/>
        <v>0</v>
      </c>
      <c r="G1176" s="16">
        <f ca="1" t="shared" si="114"/>
        <v>0</v>
      </c>
    </row>
    <row r="1177" spans="2:7">
      <c r="B1177" s="17" t="str">
        <f t="shared" si="113"/>
        <v>4/2028</v>
      </c>
      <c r="C1177" s="18">
        <f t="shared" si="116"/>
        <v>46859</v>
      </c>
      <c r="D1177" s="18" t="str">
        <f t="shared" si="117"/>
        <v>16/04/2028 a 22/04/2028</v>
      </c>
      <c r="E1177" s="16">
        <f t="shared" si="112"/>
        <v>5626</v>
      </c>
      <c r="F1177" s="16">
        <f ca="1" t="shared" si="115"/>
        <v>0</v>
      </c>
      <c r="G1177" s="16">
        <f ca="1" t="shared" si="114"/>
        <v>0</v>
      </c>
    </row>
    <row r="1178" spans="2:7">
      <c r="B1178" s="17" t="str">
        <f t="shared" si="113"/>
        <v>4/2028</v>
      </c>
      <c r="C1178" s="18">
        <f t="shared" si="116"/>
        <v>46859</v>
      </c>
      <c r="D1178" s="18" t="str">
        <f t="shared" si="117"/>
        <v>16/04/2028 a 22/04/2028</v>
      </c>
      <c r="E1178" s="16">
        <f t="shared" si="112"/>
        <v>5628</v>
      </c>
      <c r="F1178" s="16">
        <f ca="1" t="shared" si="115"/>
        <v>0</v>
      </c>
      <c r="G1178" s="16">
        <f ca="1" t="shared" si="114"/>
        <v>0</v>
      </c>
    </row>
    <row r="1179" spans="2:7">
      <c r="B1179" s="17" t="str">
        <f t="shared" si="113"/>
        <v>4/2028</v>
      </c>
      <c r="C1179" s="18">
        <f t="shared" si="116"/>
        <v>46859</v>
      </c>
      <c r="D1179" s="18" t="str">
        <f t="shared" si="117"/>
        <v>16/04/2028 a 22/04/2028</v>
      </c>
      <c r="E1179" s="16">
        <f t="shared" si="112"/>
        <v>5630</v>
      </c>
      <c r="F1179" s="16">
        <f ca="1" t="shared" si="115"/>
        <v>0</v>
      </c>
      <c r="G1179" s="16">
        <f ca="1" t="shared" si="114"/>
        <v>0</v>
      </c>
    </row>
    <row r="1180" spans="2:7">
      <c r="B1180" s="17" t="str">
        <f t="shared" si="113"/>
        <v>4/2028</v>
      </c>
      <c r="C1180" s="18">
        <f t="shared" si="116"/>
        <v>46866</v>
      </c>
      <c r="D1180" s="18" t="str">
        <f t="shared" si="117"/>
        <v>23/04/2028 a 29/04/2028</v>
      </c>
      <c r="E1180" s="16">
        <f>E1175+24</f>
        <v>5646</v>
      </c>
      <c r="F1180" s="16">
        <f ca="1" t="shared" si="115"/>
        <v>0</v>
      </c>
      <c r="G1180" s="16">
        <f ca="1" t="shared" si="114"/>
        <v>0</v>
      </c>
    </row>
    <row r="1181" spans="2:7">
      <c r="B1181" s="17" t="str">
        <f t="shared" si="113"/>
        <v>4/2028</v>
      </c>
      <c r="C1181" s="18">
        <f t="shared" si="116"/>
        <v>46866</v>
      </c>
      <c r="D1181" s="18" t="str">
        <f t="shared" si="117"/>
        <v>23/04/2028 a 29/04/2028</v>
      </c>
      <c r="E1181" s="16">
        <f t="shared" si="112"/>
        <v>5648</v>
      </c>
      <c r="F1181" s="16">
        <f ca="1" t="shared" si="115"/>
        <v>0</v>
      </c>
      <c r="G1181" s="16">
        <f ca="1" t="shared" si="114"/>
        <v>0</v>
      </c>
    </row>
    <row r="1182" spans="2:7">
      <c r="B1182" s="17" t="str">
        <f t="shared" si="113"/>
        <v>4/2028</v>
      </c>
      <c r="C1182" s="18">
        <f t="shared" si="116"/>
        <v>46866</v>
      </c>
      <c r="D1182" s="18" t="str">
        <f t="shared" si="117"/>
        <v>23/04/2028 a 29/04/2028</v>
      </c>
      <c r="E1182" s="16">
        <f t="shared" si="112"/>
        <v>5650</v>
      </c>
      <c r="F1182" s="16">
        <f ca="1" t="shared" si="115"/>
        <v>0</v>
      </c>
      <c r="G1182" s="16">
        <f ca="1" t="shared" si="114"/>
        <v>0</v>
      </c>
    </row>
    <row r="1183" spans="2:7">
      <c r="B1183" s="17" t="str">
        <f t="shared" si="113"/>
        <v>4/2028</v>
      </c>
      <c r="C1183" s="18">
        <f t="shared" si="116"/>
        <v>46866</v>
      </c>
      <c r="D1183" s="18" t="str">
        <f t="shared" si="117"/>
        <v>23/04/2028 a 29/04/2028</v>
      </c>
      <c r="E1183" s="16">
        <f t="shared" si="112"/>
        <v>5652</v>
      </c>
      <c r="F1183" s="16">
        <f ca="1" t="shared" si="115"/>
        <v>0</v>
      </c>
      <c r="G1183" s="16">
        <f ca="1" t="shared" si="114"/>
        <v>0</v>
      </c>
    </row>
    <row r="1184" spans="2:7">
      <c r="B1184" s="17" t="str">
        <f t="shared" si="113"/>
        <v>4/2028</v>
      </c>
      <c r="C1184" s="18">
        <f t="shared" si="116"/>
        <v>46866</v>
      </c>
      <c r="D1184" s="18" t="str">
        <f t="shared" si="117"/>
        <v>23/04/2028 a 29/04/2028</v>
      </c>
      <c r="E1184" s="16">
        <f t="shared" si="112"/>
        <v>5654</v>
      </c>
      <c r="F1184" s="16">
        <f ca="1" t="shared" si="115"/>
        <v>0</v>
      </c>
      <c r="G1184" s="16">
        <f ca="1" t="shared" si="114"/>
        <v>0</v>
      </c>
    </row>
    <row r="1185" spans="2:7">
      <c r="B1185" s="17" t="str">
        <f t="shared" si="113"/>
        <v>4/2028</v>
      </c>
      <c r="C1185" s="18">
        <f t="shared" si="116"/>
        <v>46873</v>
      </c>
      <c r="D1185" s="18" t="str">
        <f t="shared" si="117"/>
        <v>30/04/2028 a 06/05/2028</v>
      </c>
      <c r="E1185" s="16">
        <f>E1180+24</f>
        <v>5670</v>
      </c>
      <c r="F1185" s="16">
        <f ca="1" t="shared" si="115"/>
        <v>0</v>
      </c>
      <c r="G1185" s="16">
        <f ca="1" t="shared" si="114"/>
        <v>0</v>
      </c>
    </row>
    <row r="1186" spans="2:7">
      <c r="B1186" s="17" t="str">
        <f t="shared" si="113"/>
        <v>4/2028</v>
      </c>
      <c r="C1186" s="18">
        <f t="shared" si="116"/>
        <v>46873</v>
      </c>
      <c r="D1186" s="18" t="str">
        <f t="shared" si="117"/>
        <v>30/04/2028 a 06/05/2028</v>
      </c>
      <c r="E1186" s="16">
        <f t="shared" si="112"/>
        <v>5672</v>
      </c>
      <c r="F1186" s="16">
        <f ca="1" t="shared" si="115"/>
        <v>0</v>
      </c>
      <c r="G1186" s="16">
        <f ca="1" t="shared" si="114"/>
        <v>0</v>
      </c>
    </row>
    <row r="1187" spans="2:7">
      <c r="B1187" s="17" t="str">
        <f t="shared" si="113"/>
        <v>4/2028</v>
      </c>
      <c r="C1187" s="18">
        <f t="shared" si="116"/>
        <v>46873</v>
      </c>
      <c r="D1187" s="18" t="str">
        <f t="shared" si="117"/>
        <v>30/04/2028 a 06/05/2028</v>
      </c>
      <c r="E1187" s="16">
        <f t="shared" si="112"/>
        <v>5674</v>
      </c>
      <c r="F1187" s="16">
        <f ca="1" t="shared" si="115"/>
        <v>0</v>
      </c>
      <c r="G1187" s="16">
        <f ca="1" t="shared" si="114"/>
        <v>0</v>
      </c>
    </row>
    <row r="1188" spans="2:7">
      <c r="B1188" s="17" t="str">
        <f t="shared" si="113"/>
        <v>4/2028</v>
      </c>
      <c r="C1188" s="18">
        <f t="shared" si="116"/>
        <v>46873</v>
      </c>
      <c r="D1188" s="18" t="str">
        <f t="shared" si="117"/>
        <v>30/04/2028 a 06/05/2028</v>
      </c>
      <c r="E1188" s="16">
        <f t="shared" si="112"/>
        <v>5676</v>
      </c>
      <c r="F1188" s="16">
        <f ca="1" t="shared" si="115"/>
        <v>0</v>
      </c>
      <c r="G1188" s="16">
        <f ca="1" t="shared" si="114"/>
        <v>0</v>
      </c>
    </row>
    <row r="1189" spans="2:7">
      <c r="B1189" s="17" t="str">
        <f t="shared" si="113"/>
        <v>4/2028</v>
      </c>
      <c r="C1189" s="18">
        <f t="shared" si="116"/>
        <v>46873</v>
      </c>
      <c r="D1189" s="18" t="str">
        <f t="shared" si="117"/>
        <v>30/04/2028 a 06/05/2028</v>
      </c>
      <c r="E1189" s="16">
        <f t="shared" si="112"/>
        <v>5678</v>
      </c>
      <c r="F1189" s="16">
        <f ca="1" t="shared" si="115"/>
        <v>0</v>
      </c>
      <c r="G1189" s="16">
        <f ca="1" t="shared" si="114"/>
        <v>0</v>
      </c>
    </row>
    <row r="1190" spans="2:7">
      <c r="B1190" s="17" t="str">
        <f t="shared" si="113"/>
        <v>5/2028</v>
      </c>
      <c r="C1190" s="18">
        <f t="shared" si="116"/>
        <v>46880</v>
      </c>
      <c r="D1190" s="18" t="str">
        <f t="shared" si="117"/>
        <v>07/05/2028 a 13/05/2028</v>
      </c>
      <c r="E1190" s="16">
        <f>E1185+24</f>
        <v>5694</v>
      </c>
      <c r="F1190" s="16">
        <f ca="1" t="shared" si="115"/>
        <v>0</v>
      </c>
      <c r="G1190" s="16">
        <f ca="1" t="shared" si="114"/>
        <v>0</v>
      </c>
    </row>
    <row r="1191" spans="2:7">
      <c r="B1191" s="17" t="str">
        <f t="shared" si="113"/>
        <v>5/2028</v>
      </c>
      <c r="C1191" s="18">
        <f t="shared" si="116"/>
        <v>46880</v>
      </c>
      <c r="D1191" s="18" t="str">
        <f t="shared" si="117"/>
        <v>07/05/2028 a 13/05/2028</v>
      </c>
      <c r="E1191" s="16">
        <f t="shared" si="112"/>
        <v>5696</v>
      </c>
      <c r="F1191" s="16">
        <f ca="1" t="shared" si="115"/>
        <v>0</v>
      </c>
      <c r="G1191" s="16">
        <f ca="1" t="shared" si="114"/>
        <v>0</v>
      </c>
    </row>
    <row r="1192" spans="2:7">
      <c r="B1192" s="17" t="str">
        <f t="shared" si="113"/>
        <v>5/2028</v>
      </c>
      <c r="C1192" s="18">
        <f t="shared" si="116"/>
        <v>46880</v>
      </c>
      <c r="D1192" s="18" t="str">
        <f t="shared" si="117"/>
        <v>07/05/2028 a 13/05/2028</v>
      </c>
      <c r="E1192" s="16">
        <f t="shared" si="112"/>
        <v>5698</v>
      </c>
      <c r="F1192" s="16">
        <f ca="1" t="shared" si="115"/>
        <v>0</v>
      </c>
      <c r="G1192" s="16">
        <f ca="1" t="shared" si="114"/>
        <v>0</v>
      </c>
    </row>
    <row r="1193" spans="2:7">
      <c r="B1193" s="17" t="str">
        <f t="shared" si="113"/>
        <v>5/2028</v>
      </c>
      <c r="C1193" s="18">
        <f t="shared" si="116"/>
        <v>46880</v>
      </c>
      <c r="D1193" s="18" t="str">
        <f t="shared" si="117"/>
        <v>07/05/2028 a 13/05/2028</v>
      </c>
      <c r="E1193" s="16">
        <f t="shared" si="112"/>
        <v>5700</v>
      </c>
      <c r="F1193" s="16">
        <f ca="1" t="shared" si="115"/>
        <v>0</v>
      </c>
      <c r="G1193" s="16">
        <f ca="1" t="shared" si="114"/>
        <v>0</v>
      </c>
    </row>
    <row r="1194" spans="2:7">
      <c r="B1194" s="17" t="str">
        <f t="shared" si="113"/>
        <v>5/2028</v>
      </c>
      <c r="C1194" s="18">
        <f t="shared" si="116"/>
        <v>46880</v>
      </c>
      <c r="D1194" s="18" t="str">
        <f t="shared" si="117"/>
        <v>07/05/2028 a 13/05/2028</v>
      </c>
      <c r="E1194" s="16">
        <f t="shared" si="112"/>
        <v>5702</v>
      </c>
      <c r="F1194" s="16">
        <f ca="1" t="shared" si="115"/>
        <v>0</v>
      </c>
      <c r="G1194" s="16">
        <f ca="1" t="shared" si="114"/>
        <v>0</v>
      </c>
    </row>
    <row r="1195" spans="2:7">
      <c r="B1195" s="17" t="str">
        <f t="shared" si="113"/>
        <v>5/2028</v>
      </c>
      <c r="C1195" s="18">
        <f t="shared" si="116"/>
        <v>46887</v>
      </c>
      <c r="D1195" s="18" t="str">
        <f t="shared" si="117"/>
        <v>14/05/2028 a 20/05/2028</v>
      </c>
      <c r="E1195" s="16">
        <f>E1190+24</f>
        <v>5718</v>
      </c>
      <c r="F1195" s="16">
        <f ca="1" t="shared" si="115"/>
        <v>0</v>
      </c>
      <c r="G1195" s="16">
        <f ca="1" t="shared" si="114"/>
        <v>0</v>
      </c>
    </row>
    <row r="1196" spans="2:7">
      <c r="B1196" s="17" t="str">
        <f t="shared" si="113"/>
        <v>5/2028</v>
      </c>
      <c r="C1196" s="18">
        <f t="shared" si="116"/>
        <v>46887</v>
      </c>
      <c r="D1196" s="18" t="str">
        <f t="shared" si="117"/>
        <v>14/05/2028 a 20/05/2028</v>
      </c>
      <c r="E1196" s="16">
        <f t="shared" ref="E1196:E1259" si="118">E1195+2</f>
        <v>5720</v>
      </c>
      <c r="F1196" s="16">
        <f ca="1" t="shared" si="115"/>
        <v>0</v>
      </c>
      <c r="G1196" s="16">
        <f ca="1" t="shared" si="114"/>
        <v>0</v>
      </c>
    </row>
    <row r="1197" spans="2:7">
      <c r="B1197" s="17" t="str">
        <f t="shared" si="113"/>
        <v>5/2028</v>
      </c>
      <c r="C1197" s="18">
        <f t="shared" si="116"/>
        <v>46887</v>
      </c>
      <c r="D1197" s="18" t="str">
        <f t="shared" si="117"/>
        <v>14/05/2028 a 20/05/2028</v>
      </c>
      <c r="E1197" s="16">
        <f t="shared" si="118"/>
        <v>5722</v>
      </c>
      <c r="F1197" s="16">
        <f ca="1" t="shared" si="115"/>
        <v>0</v>
      </c>
      <c r="G1197" s="16">
        <f ca="1" t="shared" si="114"/>
        <v>0</v>
      </c>
    </row>
    <row r="1198" spans="2:7">
      <c r="B1198" s="17" t="str">
        <f t="shared" si="113"/>
        <v>5/2028</v>
      </c>
      <c r="C1198" s="18">
        <f t="shared" si="116"/>
        <v>46887</v>
      </c>
      <c r="D1198" s="18" t="str">
        <f t="shared" si="117"/>
        <v>14/05/2028 a 20/05/2028</v>
      </c>
      <c r="E1198" s="16">
        <f t="shared" si="118"/>
        <v>5724</v>
      </c>
      <c r="F1198" s="16">
        <f ca="1" t="shared" si="115"/>
        <v>0</v>
      </c>
      <c r="G1198" s="16">
        <f ca="1" t="shared" si="114"/>
        <v>0</v>
      </c>
    </row>
    <row r="1199" spans="2:7">
      <c r="B1199" s="17" t="str">
        <f t="shared" si="113"/>
        <v>5/2028</v>
      </c>
      <c r="C1199" s="18">
        <f t="shared" si="116"/>
        <v>46887</v>
      </c>
      <c r="D1199" s="18" t="str">
        <f t="shared" si="117"/>
        <v>14/05/2028 a 20/05/2028</v>
      </c>
      <c r="E1199" s="16">
        <f t="shared" si="118"/>
        <v>5726</v>
      </c>
      <c r="F1199" s="16">
        <f ca="1" t="shared" si="115"/>
        <v>0</v>
      </c>
      <c r="G1199" s="16">
        <f ca="1" t="shared" si="114"/>
        <v>0</v>
      </c>
    </row>
    <row r="1200" spans="2:7">
      <c r="B1200" s="17" t="str">
        <f t="shared" si="113"/>
        <v>5/2028</v>
      </c>
      <c r="C1200" s="18">
        <f t="shared" si="116"/>
        <v>46894</v>
      </c>
      <c r="D1200" s="18" t="str">
        <f t="shared" si="117"/>
        <v>21/05/2028 a 27/05/2028</v>
      </c>
      <c r="E1200" s="16">
        <f>E1195+24</f>
        <v>5742</v>
      </c>
      <c r="F1200" s="16">
        <f ca="1" t="shared" si="115"/>
        <v>0</v>
      </c>
      <c r="G1200" s="16">
        <f ca="1" t="shared" si="114"/>
        <v>0</v>
      </c>
    </row>
    <row r="1201" spans="2:7">
      <c r="B1201" s="17" t="str">
        <f t="shared" si="113"/>
        <v>5/2028</v>
      </c>
      <c r="C1201" s="18">
        <f t="shared" si="116"/>
        <v>46894</v>
      </c>
      <c r="D1201" s="18" t="str">
        <f t="shared" si="117"/>
        <v>21/05/2028 a 27/05/2028</v>
      </c>
      <c r="E1201" s="16">
        <f t="shared" si="118"/>
        <v>5744</v>
      </c>
      <c r="F1201" s="16">
        <f ca="1" t="shared" si="115"/>
        <v>0</v>
      </c>
      <c r="G1201" s="16">
        <f ca="1" t="shared" si="114"/>
        <v>0</v>
      </c>
    </row>
    <row r="1202" spans="2:7">
      <c r="B1202" s="17" t="str">
        <f t="shared" si="113"/>
        <v>5/2028</v>
      </c>
      <c r="C1202" s="18">
        <f t="shared" si="116"/>
        <v>46894</v>
      </c>
      <c r="D1202" s="18" t="str">
        <f t="shared" si="117"/>
        <v>21/05/2028 a 27/05/2028</v>
      </c>
      <c r="E1202" s="16">
        <f t="shared" si="118"/>
        <v>5746</v>
      </c>
      <c r="F1202" s="16">
        <f ca="1" t="shared" si="115"/>
        <v>0</v>
      </c>
      <c r="G1202" s="16">
        <f ca="1" t="shared" si="114"/>
        <v>0</v>
      </c>
    </row>
    <row r="1203" spans="2:7">
      <c r="B1203" s="17" t="str">
        <f t="shared" si="113"/>
        <v>5/2028</v>
      </c>
      <c r="C1203" s="18">
        <f t="shared" si="116"/>
        <v>46894</v>
      </c>
      <c r="D1203" s="18" t="str">
        <f t="shared" si="117"/>
        <v>21/05/2028 a 27/05/2028</v>
      </c>
      <c r="E1203" s="16">
        <f t="shared" si="118"/>
        <v>5748</v>
      </c>
      <c r="F1203" s="16">
        <f ca="1" t="shared" si="115"/>
        <v>0</v>
      </c>
      <c r="G1203" s="16">
        <f ca="1" t="shared" si="114"/>
        <v>0</v>
      </c>
    </row>
    <row r="1204" spans="2:7">
      <c r="B1204" s="17" t="str">
        <f t="shared" si="113"/>
        <v>5/2028</v>
      </c>
      <c r="C1204" s="18">
        <f t="shared" si="116"/>
        <v>46894</v>
      </c>
      <c r="D1204" s="18" t="str">
        <f t="shared" si="117"/>
        <v>21/05/2028 a 27/05/2028</v>
      </c>
      <c r="E1204" s="16">
        <f t="shared" si="118"/>
        <v>5750</v>
      </c>
      <c r="F1204" s="16">
        <f ca="1" t="shared" si="115"/>
        <v>0</v>
      </c>
      <c r="G1204" s="16">
        <f ca="1" t="shared" si="114"/>
        <v>0</v>
      </c>
    </row>
    <row r="1205" spans="2:7">
      <c r="B1205" s="17" t="str">
        <f t="shared" si="113"/>
        <v>5/2028</v>
      </c>
      <c r="C1205" s="18">
        <f t="shared" si="116"/>
        <v>46901</v>
      </c>
      <c r="D1205" s="18" t="str">
        <f t="shared" si="117"/>
        <v>28/05/2028 a 03/06/2028</v>
      </c>
      <c r="E1205" s="16">
        <f>E1200+24</f>
        <v>5766</v>
      </c>
      <c r="F1205" s="16">
        <f ca="1" t="shared" si="115"/>
        <v>0</v>
      </c>
      <c r="G1205" s="16">
        <f ca="1" t="shared" si="114"/>
        <v>0</v>
      </c>
    </row>
    <row r="1206" spans="2:7">
      <c r="B1206" s="17" t="str">
        <f t="shared" si="113"/>
        <v>5/2028</v>
      </c>
      <c r="C1206" s="18">
        <f t="shared" si="116"/>
        <v>46901</v>
      </c>
      <c r="D1206" s="18" t="str">
        <f t="shared" si="117"/>
        <v>28/05/2028 a 03/06/2028</v>
      </c>
      <c r="E1206" s="16">
        <f t="shared" si="118"/>
        <v>5768</v>
      </c>
      <c r="F1206" s="16">
        <f ca="1" t="shared" si="115"/>
        <v>0</v>
      </c>
      <c r="G1206" s="16">
        <f ca="1" t="shared" si="114"/>
        <v>0</v>
      </c>
    </row>
    <row r="1207" spans="2:7">
      <c r="B1207" s="17" t="str">
        <f t="shared" si="113"/>
        <v>5/2028</v>
      </c>
      <c r="C1207" s="18">
        <f t="shared" si="116"/>
        <v>46901</v>
      </c>
      <c r="D1207" s="18" t="str">
        <f t="shared" si="117"/>
        <v>28/05/2028 a 03/06/2028</v>
      </c>
      <c r="E1207" s="16">
        <f t="shared" si="118"/>
        <v>5770</v>
      </c>
      <c r="F1207" s="16">
        <f ca="1" t="shared" si="115"/>
        <v>0</v>
      </c>
      <c r="G1207" s="16">
        <f ca="1" t="shared" si="114"/>
        <v>0</v>
      </c>
    </row>
    <row r="1208" spans="2:7">
      <c r="B1208" s="17" t="str">
        <f t="shared" si="113"/>
        <v>5/2028</v>
      </c>
      <c r="C1208" s="18">
        <f t="shared" si="116"/>
        <v>46901</v>
      </c>
      <c r="D1208" s="18" t="str">
        <f t="shared" si="117"/>
        <v>28/05/2028 a 03/06/2028</v>
      </c>
      <c r="E1208" s="16">
        <f t="shared" si="118"/>
        <v>5772</v>
      </c>
      <c r="F1208" s="16">
        <f ca="1" t="shared" si="115"/>
        <v>0</v>
      </c>
      <c r="G1208" s="16">
        <f ca="1" t="shared" si="114"/>
        <v>0</v>
      </c>
    </row>
    <row r="1209" spans="2:7">
      <c r="B1209" s="17" t="str">
        <f t="shared" ref="B1209:B1272" si="119">MONTH(C1209)&amp;"/"&amp;YEAR(C1209)</f>
        <v>5/2028</v>
      </c>
      <c r="C1209" s="18">
        <f t="shared" si="116"/>
        <v>46901</v>
      </c>
      <c r="D1209" s="18" t="str">
        <f t="shared" si="117"/>
        <v>28/05/2028 a 03/06/2028</v>
      </c>
      <c r="E1209" s="16">
        <f t="shared" si="118"/>
        <v>5774</v>
      </c>
      <c r="F1209" s="16">
        <f ca="1" t="shared" si="115"/>
        <v>0</v>
      </c>
      <c r="G1209" s="16">
        <f ca="1" t="shared" ref="G1209:G1272" si="120">INDIRECT("'Diário'!J"&amp;E1209)</f>
        <v>0</v>
      </c>
    </row>
    <row r="1210" spans="2:7">
      <c r="B1210" s="17" t="str">
        <f t="shared" si="119"/>
        <v>6/2028</v>
      </c>
      <c r="C1210" s="18">
        <f t="shared" si="116"/>
        <v>46908</v>
      </c>
      <c r="D1210" s="18" t="str">
        <f t="shared" si="117"/>
        <v>04/06/2028 a 10/06/2028</v>
      </c>
      <c r="E1210" s="16">
        <f>E1205+24</f>
        <v>5790</v>
      </c>
      <c r="F1210" s="16">
        <f ca="1" t="shared" si="115"/>
        <v>0</v>
      </c>
      <c r="G1210" s="16">
        <f ca="1" t="shared" si="120"/>
        <v>0</v>
      </c>
    </row>
    <row r="1211" spans="2:7">
      <c r="B1211" s="17" t="str">
        <f t="shared" si="119"/>
        <v>6/2028</v>
      </c>
      <c r="C1211" s="18">
        <f t="shared" si="116"/>
        <v>46908</v>
      </c>
      <c r="D1211" s="18" t="str">
        <f t="shared" si="117"/>
        <v>04/06/2028 a 10/06/2028</v>
      </c>
      <c r="E1211" s="16">
        <f t="shared" si="118"/>
        <v>5792</v>
      </c>
      <c r="F1211" s="16">
        <f ca="1" t="shared" si="115"/>
        <v>0</v>
      </c>
      <c r="G1211" s="16">
        <f ca="1" t="shared" si="120"/>
        <v>0</v>
      </c>
    </row>
    <row r="1212" spans="2:7">
      <c r="B1212" s="17" t="str">
        <f t="shared" si="119"/>
        <v>6/2028</v>
      </c>
      <c r="C1212" s="18">
        <f t="shared" si="116"/>
        <v>46908</v>
      </c>
      <c r="D1212" s="18" t="str">
        <f t="shared" si="117"/>
        <v>04/06/2028 a 10/06/2028</v>
      </c>
      <c r="E1212" s="16">
        <f t="shared" si="118"/>
        <v>5794</v>
      </c>
      <c r="F1212" s="16">
        <f ca="1" t="shared" si="115"/>
        <v>0</v>
      </c>
      <c r="G1212" s="16">
        <f ca="1" t="shared" si="120"/>
        <v>0</v>
      </c>
    </row>
    <row r="1213" spans="2:7">
      <c r="B1213" s="17" t="str">
        <f t="shared" si="119"/>
        <v>6/2028</v>
      </c>
      <c r="C1213" s="18">
        <f t="shared" si="116"/>
        <v>46908</v>
      </c>
      <c r="D1213" s="18" t="str">
        <f t="shared" si="117"/>
        <v>04/06/2028 a 10/06/2028</v>
      </c>
      <c r="E1213" s="16">
        <f t="shared" si="118"/>
        <v>5796</v>
      </c>
      <c r="F1213" s="16">
        <f ca="1" t="shared" si="115"/>
        <v>0</v>
      </c>
      <c r="G1213" s="16">
        <f ca="1" t="shared" si="120"/>
        <v>0</v>
      </c>
    </row>
    <row r="1214" spans="2:7">
      <c r="B1214" s="17" t="str">
        <f t="shared" si="119"/>
        <v>6/2028</v>
      </c>
      <c r="C1214" s="18">
        <f t="shared" si="116"/>
        <v>46908</v>
      </c>
      <c r="D1214" s="18" t="str">
        <f t="shared" si="117"/>
        <v>04/06/2028 a 10/06/2028</v>
      </c>
      <c r="E1214" s="16">
        <f t="shared" si="118"/>
        <v>5798</v>
      </c>
      <c r="F1214" s="16">
        <f ca="1" t="shared" ref="F1214:F1277" si="121">INDIRECT("Diário!I"&amp;E1214)</f>
        <v>0</v>
      </c>
      <c r="G1214" s="16">
        <f ca="1" t="shared" si="120"/>
        <v>0</v>
      </c>
    </row>
    <row r="1215" spans="2:7">
      <c r="B1215" s="17" t="str">
        <f t="shared" si="119"/>
        <v>6/2028</v>
      </c>
      <c r="C1215" s="18">
        <f t="shared" si="116"/>
        <v>46915</v>
      </c>
      <c r="D1215" s="18" t="str">
        <f t="shared" si="117"/>
        <v>11/06/2028 a 17/06/2028</v>
      </c>
      <c r="E1215" s="16">
        <f>E1210+24</f>
        <v>5814</v>
      </c>
      <c r="F1215" s="16">
        <f ca="1" t="shared" si="121"/>
        <v>0</v>
      </c>
      <c r="G1215" s="16">
        <f ca="1" t="shared" si="120"/>
        <v>0</v>
      </c>
    </row>
    <row r="1216" spans="2:7">
      <c r="B1216" s="17" t="str">
        <f t="shared" si="119"/>
        <v>6/2028</v>
      </c>
      <c r="C1216" s="18">
        <f t="shared" si="116"/>
        <v>46915</v>
      </c>
      <c r="D1216" s="18" t="str">
        <f t="shared" si="117"/>
        <v>11/06/2028 a 17/06/2028</v>
      </c>
      <c r="E1216" s="16">
        <f t="shared" si="118"/>
        <v>5816</v>
      </c>
      <c r="F1216" s="16">
        <f ca="1" t="shared" si="121"/>
        <v>0</v>
      </c>
      <c r="G1216" s="16">
        <f ca="1" t="shared" si="120"/>
        <v>0</v>
      </c>
    </row>
    <row r="1217" spans="2:7">
      <c r="B1217" s="17" t="str">
        <f t="shared" si="119"/>
        <v>6/2028</v>
      </c>
      <c r="C1217" s="18">
        <f t="shared" si="116"/>
        <v>46915</v>
      </c>
      <c r="D1217" s="18" t="str">
        <f t="shared" si="117"/>
        <v>11/06/2028 a 17/06/2028</v>
      </c>
      <c r="E1217" s="16">
        <f t="shared" si="118"/>
        <v>5818</v>
      </c>
      <c r="F1217" s="16">
        <f ca="1" t="shared" si="121"/>
        <v>0</v>
      </c>
      <c r="G1217" s="16">
        <f ca="1" t="shared" si="120"/>
        <v>0</v>
      </c>
    </row>
    <row r="1218" spans="2:7">
      <c r="B1218" s="17" t="str">
        <f t="shared" si="119"/>
        <v>6/2028</v>
      </c>
      <c r="C1218" s="18">
        <f t="shared" si="116"/>
        <v>46915</v>
      </c>
      <c r="D1218" s="18" t="str">
        <f t="shared" si="117"/>
        <v>11/06/2028 a 17/06/2028</v>
      </c>
      <c r="E1218" s="16">
        <f t="shared" si="118"/>
        <v>5820</v>
      </c>
      <c r="F1218" s="16">
        <f ca="1" t="shared" si="121"/>
        <v>0</v>
      </c>
      <c r="G1218" s="16">
        <f ca="1" t="shared" si="120"/>
        <v>0</v>
      </c>
    </row>
    <row r="1219" spans="2:7">
      <c r="B1219" s="17" t="str">
        <f t="shared" si="119"/>
        <v>6/2028</v>
      </c>
      <c r="C1219" s="18">
        <f t="shared" si="116"/>
        <v>46915</v>
      </c>
      <c r="D1219" s="18" t="str">
        <f t="shared" si="117"/>
        <v>11/06/2028 a 17/06/2028</v>
      </c>
      <c r="E1219" s="16">
        <f t="shared" si="118"/>
        <v>5822</v>
      </c>
      <c r="F1219" s="16">
        <f ca="1" t="shared" si="121"/>
        <v>0</v>
      </c>
      <c r="G1219" s="16">
        <f ca="1" t="shared" si="120"/>
        <v>0</v>
      </c>
    </row>
    <row r="1220" spans="2:7">
      <c r="B1220" s="17" t="str">
        <f t="shared" si="119"/>
        <v>6/2028</v>
      </c>
      <c r="C1220" s="18">
        <f t="shared" si="116"/>
        <v>46922</v>
      </c>
      <c r="D1220" s="18" t="str">
        <f t="shared" si="117"/>
        <v>18/06/2028 a 24/06/2028</v>
      </c>
      <c r="E1220" s="16">
        <f>E1215+24</f>
        <v>5838</v>
      </c>
      <c r="F1220" s="16">
        <f ca="1" t="shared" si="121"/>
        <v>0</v>
      </c>
      <c r="G1220" s="16">
        <f ca="1" t="shared" si="120"/>
        <v>0</v>
      </c>
    </row>
    <row r="1221" spans="2:7">
      <c r="B1221" s="17" t="str">
        <f t="shared" si="119"/>
        <v>6/2028</v>
      </c>
      <c r="C1221" s="18">
        <f t="shared" si="116"/>
        <v>46922</v>
      </c>
      <c r="D1221" s="18" t="str">
        <f t="shared" si="117"/>
        <v>18/06/2028 a 24/06/2028</v>
      </c>
      <c r="E1221" s="16">
        <f t="shared" si="118"/>
        <v>5840</v>
      </c>
      <c r="F1221" s="16">
        <f ca="1" t="shared" si="121"/>
        <v>0</v>
      </c>
      <c r="G1221" s="16">
        <f ca="1" t="shared" si="120"/>
        <v>0</v>
      </c>
    </row>
    <row r="1222" spans="2:7">
      <c r="B1222" s="17" t="str">
        <f t="shared" si="119"/>
        <v>6/2028</v>
      </c>
      <c r="C1222" s="18">
        <f t="shared" si="116"/>
        <v>46922</v>
      </c>
      <c r="D1222" s="18" t="str">
        <f t="shared" si="117"/>
        <v>18/06/2028 a 24/06/2028</v>
      </c>
      <c r="E1222" s="16">
        <f t="shared" si="118"/>
        <v>5842</v>
      </c>
      <c r="F1222" s="16">
        <f ca="1" t="shared" si="121"/>
        <v>0</v>
      </c>
      <c r="G1222" s="16">
        <f ca="1" t="shared" si="120"/>
        <v>0</v>
      </c>
    </row>
    <row r="1223" spans="2:7">
      <c r="B1223" s="17" t="str">
        <f t="shared" si="119"/>
        <v>6/2028</v>
      </c>
      <c r="C1223" s="18">
        <f t="shared" si="116"/>
        <v>46922</v>
      </c>
      <c r="D1223" s="18" t="str">
        <f t="shared" si="117"/>
        <v>18/06/2028 a 24/06/2028</v>
      </c>
      <c r="E1223" s="16">
        <f t="shared" si="118"/>
        <v>5844</v>
      </c>
      <c r="F1223" s="16">
        <f ca="1" t="shared" si="121"/>
        <v>0</v>
      </c>
      <c r="G1223" s="16">
        <f ca="1" t="shared" si="120"/>
        <v>0</v>
      </c>
    </row>
    <row r="1224" spans="2:7">
      <c r="B1224" s="17" t="str">
        <f t="shared" si="119"/>
        <v>6/2028</v>
      </c>
      <c r="C1224" s="18">
        <f t="shared" si="116"/>
        <v>46922</v>
      </c>
      <c r="D1224" s="18" t="str">
        <f t="shared" si="117"/>
        <v>18/06/2028 a 24/06/2028</v>
      </c>
      <c r="E1224" s="16">
        <f t="shared" si="118"/>
        <v>5846</v>
      </c>
      <c r="F1224" s="16">
        <f ca="1" t="shared" si="121"/>
        <v>0</v>
      </c>
      <c r="G1224" s="16">
        <f ca="1" t="shared" si="120"/>
        <v>0</v>
      </c>
    </row>
    <row r="1225" spans="2:7">
      <c r="B1225" s="17" t="str">
        <f t="shared" si="119"/>
        <v>6/2028</v>
      </c>
      <c r="C1225" s="18">
        <f t="shared" si="116"/>
        <v>46929</v>
      </c>
      <c r="D1225" s="18" t="str">
        <f t="shared" si="117"/>
        <v>25/06/2028 a 01/07/2028</v>
      </c>
      <c r="E1225" s="16">
        <f>E1220+24</f>
        <v>5862</v>
      </c>
      <c r="F1225" s="16">
        <f ca="1" t="shared" si="121"/>
        <v>0</v>
      </c>
      <c r="G1225" s="16">
        <f ca="1" t="shared" si="120"/>
        <v>0</v>
      </c>
    </row>
    <row r="1226" spans="2:7">
      <c r="B1226" s="17" t="str">
        <f t="shared" si="119"/>
        <v>6/2028</v>
      </c>
      <c r="C1226" s="18">
        <f t="shared" si="116"/>
        <v>46929</v>
      </c>
      <c r="D1226" s="18" t="str">
        <f t="shared" si="117"/>
        <v>25/06/2028 a 01/07/2028</v>
      </c>
      <c r="E1226" s="16">
        <f t="shared" si="118"/>
        <v>5864</v>
      </c>
      <c r="F1226" s="16">
        <f ca="1" t="shared" si="121"/>
        <v>0</v>
      </c>
      <c r="G1226" s="16">
        <f ca="1" t="shared" si="120"/>
        <v>0</v>
      </c>
    </row>
    <row r="1227" spans="2:7">
      <c r="B1227" s="17" t="str">
        <f t="shared" si="119"/>
        <v>6/2028</v>
      </c>
      <c r="C1227" s="18">
        <f t="shared" si="116"/>
        <v>46929</v>
      </c>
      <c r="D1227" s="18" t="str">
        <f t="shared" si="117"/>
        <v>25/06/2028 a 01/07/2028</v>
      </c>
      <c r="E1227" s="16">
        <f t="shared" si="118"/>
        <v>5866</v>
      </c>
      <c r="F1227" s="16">
        <f ca="1" t="shared" si="121"/>
        <v>0</v>
      </c>
      <c r="G1227" s="16">
        <f ca="1" t="shared" si="120"/>
        <v>0</v>
      </c>
    </row>
    <row r="1228" spans="2:7">
      <c r="B1228" s="17" t="str">
        <f t="shared" si="119"/>
        <v>6/2028</v>
      </c>
      <c r="C1228" s="18">
        <f t="shared" si="116"/>
        <v>46929</v>
      </c>
      <c r="D1228" s="18" t="str">
        <f t="shared" si="117"/>
        <v>25/06/2028 a 01/07/2028</v>
      </c>
      <c r="E1228" s="16">
        <f t="shared" si="118"/>
        <v>5868</v>
      </c>
      <c r="F1228" s="16">
        <f ca="1" t="shared" si="121"/>
        <v>0</v>
      </c>
      <c r="G1228" s="16">
        <f ca="1" t="shared" si="120"/>
        <v>0</v>
      </c>
    </row>
    <row r="1229" spans="2:7">
      <c r="B1229" s="17" t="str">
        <f t="shared" si="119"/>
        <v>6/2028</v>
      </c>
      <c r="C1229" s="18">
        <f t="shared" si="116"/>
        <v>46929</v>
      </c>
      <c r="D1229" s="18" t="str">
        <f t="shared" si="117"/>
        <v>25/06/2028 a 01/07/2028</v>
      </c>
      <c r="E1229" s="16">
        <f t="shared" si="118"/>
        <v>5870</v>
      </c>
      <c r="F1229" s="16">
        <f ca="1" t="shared" si="121"/>
        <v>0</v>
      </c>
      <c r="G1229" s="16">
        <f ca="1" t="shared" si="120"/>
        <v>0</v>
      </c>
    </row>
    <row r="1230" spans="2:7">
      <c r="B1230" s="17" t="str">
        <f t="shared" si="119"/>
        <v>7/2028</v>
      </c>
      <c r="C1230" s="18">
        <f t="shared" si="116"/>
        <v>46936</v>
      </c>
      <c r="D1230" s="18" t="str">
        <f t="shared" si="117"/>
        <v>02/07/2028 a 08/07/2028</v>
      </c>
      <c r="E1230" s="16">
        <f>E1225+24</f>
        <v>5886</v>
      </c>
      <c r="F1230" s="16">
        <f ca="1" t="shared" si="121"/>
        <v>0</v>
      </c>
      <c r="G1230" s="16">
        <f ca="1" t="shared" si="120"/>
        <v>0</v>
      </c>
    </row>
    <row r="1231" spans="2:7">
      <c r="B1231" s="17" t="str">
        <f t="shared" si="119"/>
        <v>7/2028</v>
      </c>
      <c r="C1231" s="18">
        <f t="shared" si="116"/>
        <v>46936</v>
      </c>
      <c r="D1231" s="18" t="str">
        <f t="shared" si="117"/>
        <v>02/07/2028 a 08/07/2028</v>
      </c>
      <c r="E1231" s="16">
        <f t="shared" si="118"/>
        <v>5888</v>
      </c>
      <c r="F1231" s="16">
        <f ca="1" t="shared" si="121"/>
        <v>0</v>
      </c>
      <c r="G1231" s="16">
        <f ca="1" t="shared" si="120"/>
        <v>0</v>
      </c>
    </row>
    <row r="1232" spans="2:7">
      <c r="B1232" s="17" t="str">
        <f t="shared" si="119"/>
        <v>7/2028</v>
      </c>
      <c r="C1232" s="18">
        <f t="shared" si="116"/>
        <v>46936</v>
      </c>
      <c r="D1232" s="18" t="str">
        <f t="shared" si="117"/>
        <v>02/07/2028 a 08/07/2028</v>
      </c>
      <c r="E1232" s="16">
        <f t="shared" si="118"/>
        <v>5890</v>
      </c>
      <c r="F1232" s="16">
        <f ca="1" t="shared" si="121"/>
        <v>0</v>
      </c>
      <c r="G1232" s="16">
        <f ca="1" t="shared" si="120"/>
        <v>0</v>
      </c>
    </row>
    <row r="1233" spans="2:7">
      <c r="B1233" s="17" t="str">
        <f t="shared" si="119"/>
        <v>7/2028</v>
      </c>
      <c r="C1233" s="18">
        <f t="shared" si="116"/>
        <v>46936</v>
      </c>
      <c r="D1233" s="18" t="str">
        <f t="shared" si="117"/>
        <v>02/07/2028 a 08/07/2028</v>
      </c>
      <c r="E1233" s="16">
        <f t="shared" si="118"/>
        <v>5892</v>
      </c>
      <c r="F1233" s="16">
        <f ca="1" t="shared" si="121"/>
        <v>0</v>
      </c>
      <c r="G1233" s="16">
        <f ca="1" t="shared" si="120"/>
        <v>0</v>
      </c>
    </row>
    <row r="1234" spans="2:7">
      <c r="B1234" s="17" t="str">
        <f t="shared" si="119"/>
        <v>7/2028</v>
      </c>
      <c r="C1234" s="18">
        <f t="shared" ref="C1234:C1297" si="122">C1229+7</f>
        <v>46936</v>
      </c>
      <c r="D1234" s="18" t="str">
        <f t="shared" si="117"/>
        <v>02/07/2028 a 08/07/2028</v>
      </c>
      <c r="E1234" s="16">
        <f t="shared" si="118"/>
        <v>5894</v>
      </c>
      <c r="F1234" s="16">
        <f ca="1" t="shared" si="121"/>
        <v>0</v>
      </c>
      <c r="G1234" s="16">
        <f ca="1" t="shared" si="120"/>
        <v>0</v>
      </c>
    </row>
    <row r="1235" spans="2:7">
      <c r="B1235" s="17" t="str">
        <f t="shared" si="119"/>
        <v>7/2028</v>
      </c>
      <c r="C1235" s="18">
        <f t="shared" si="122"/>
        <v>46943</v>
      </c>
      <c r="D1235" s="18" t="str">
        <f t="shared" ref="D1235:D1298" si="123">TEXT((C1235),"DD/MM/AAAA")&amp;" a "&amp;TEXT((C1235+6),"DD/MM/AAAA")</f>
        <v>09/07/2028 a 15/07/2028</v>
      </c>
      <c r="E1235" s="16">
        <f>E1230+24</f>
        <v>5910</v>
      </c>
      <c r="F1235" s="16">
        <f ca="1" t="shared" si="121"/>
        <v>0</v>
      </c>
      <c r="G1235" s="16">
        <f ca="1" t="shared" si="120"/>
        <v>0</v>
      </c>
    </row>
    <row r="1236" spans="2:7">
      <c r="B1236" s="17" t="str">
        <f t="shared" si="119"/>
        <v>7/2028</v>
      </c>
      <c r="C1236" s="18">
        <f t="shared" si="122"/>
        <v>46943</v>
      </c>
      <c r="D1236" s="18" t="str">
        <f t="shared" si="123"/>
        <v>09/07/2028 a 15/07/2028</v>
      </c>
      <c r="E1236" s="16">
        <f t="shared" si="118"/>
        <v>5912</v>
      </c>
      <c r="F1236" s="16">
        <f ca="1" t="shared" si="121"/>
        <v>0</v>
      </c>
      <c r="G1236" s="16">
        <f ca="1" t="shared" si="120"/>
        <v>0</v>
      </c>
    </row>
    <row r="1237" spans="2:7">
      <c r="B1237" s="17" t="str">
        <f t="shared" si="119"/>
        <v>7/2028</v>
      </c>
      <c r="C1237" s="18">
        <f t="shared" si="122"/>
        <v>46943</v>
      </c>
      <c r="D1237" s="18" t="str">
        <f t="shared" si="123"/>
        <v>09/07/2028 a 15/07/2028</v>
      </c>
      <c r="E1237" s="16">
        <f t="shared" si="118"/>
        <v>5914</v>
      </c>
      <c r="F1237" s="16">
        <f ca="1" t="shared" si="121"/>
        <v>0</v>
      </c>
      <c r="G1237" s="16">
        <f ca="1" t="shared" si="120"/>
        <v>0</v>
      </c>
    </row>
    <row r="1238" spans="2:7">
      <c r="B1238" s="17" t="str">
        <f t="shared" si="119"/>
        <v>7/2028</v>
      </c>
      <c r="C1238" s="18">
        <f t="shared" si="122"/>
        <v>46943</v>
      </c>
      <c r="D1238" s="18" t="str">
        <f t="shared" si="123"/>
        <v>09/07/2028 a 15/07/2028</v>
      </c>
      <c r="E1238" s="16">
        <f t="shared" si="118"/>
        <v>5916</v>
      </c>
      <c r="F1238" s="16">
        <f ca="1" t="shared" si="121"/>
        <v>0</v>
      </c>
      <c r="G1238" s="16">
        <f ca="1" t="shared" si="120"/>
        <v>0</v>
      </c>
    </row>
    <row r="1239" spans="2:7">
      <c r="B1239" s="17" t="str">
        <f t="shared" si="119"/>
        <v>7/2028</v>
      </c>
      <c r="C1239" s="18">
        <f t="shared" si="122"/>
        <v>46943</v>
      </c>
      <c r="D1239" s="18" t="str">
        <f t="shared" si="123"/>
        <v>09/07/2028 a 15/07/2028</v>
      </c>
      <c r="E1239" s="16">
        <f t="shared" si="118"/>
        <v>5918</v>
      </c>
      <c r="F1239" s="16">
        <f ca="1" t="shared" si="121"/>
        <v>0</v>
      </c>
      <c r="G1239" s="16">
        <f ca="1" t="shared" si="120"/>
        <v>0</v>
      </c>
    </row>
    <row r="1240" spans="2:7">
      <c r="B1240" s="17" t="str">
        <f t="shared" si="119"/>
        <v>7/2028</v>
      </c>
      <c r="C1240" s="18">
        <f t="shared" si="122"/>
        <v>46950</v>
      </c>
      <c r="D1240" s="18" t="str">
        <f t="shared" si="123"/>
        <v>16/07/2028 a 22/07/2028</v>
      </c>
      <c r="E1240" s="16">
        <f>E1235+24</f>
        <v>5934</v>
      </c>
      <c r="F1240" s="16">
        <f ca="1" t="shared" si="121"/>
        <v>0</v>
      </c>
      <c r="G1240" s="16">
        <f ca="1" t="shared" si="120"/>
        <v>0</v>
      </c>
    </row>
    <row r="1241" spans="2:7">
      <c r="B1241" s="17" t="str">
        <f t="shared" si="119"/>
        <v>7/2028</v>
      </c>
      <c r="C1241" s="18">
        <f t="shared" si="122"/>
        <v>46950</v>
      </c>
      <c r="D1241" s="18" t="str">
        <f t="shared" si="123"/>
        <v>16/07/2028 a 22/07/2028</v>
      </c>
      <c r="E1241" s="16">
        <f t="shared" si="118"/>
        <v>5936</v>
      </c>
      <c r="F1241" s="16">
        <f ca="1" t="shared" si="121"/>
        <v>0</v>
      </c>
      <c r="G1241" s="16">
        <f ca="1" t="shared" si="120"/>
        <v>0</v>
      </c>
    </row>
    <row r="1242" spans="2:7">
      <c r="B1242" s="17" t="str">
        <f t="shared" si="119"/>
        <v>7/2028</v>
      </c>
      <c r="C1242" s="18">
        <f t="shared" si="122"/>
        <v>46950</v>
      </c>
      <c r="D1242" s="18" t="str">
        <f t="shared" si="123"/>
        <v>16/07/2028 a 22/07/2028</v>
      </c>
      <c r="E1242" s="16">
        <f t="shared" si="118"/>
        <v>5938</v>
      </c>
      <c r="F1242" s="16">
        <f ca="1" t="shared" si="121"/>
        <v>0</v>
      </c>
      <c r="G1242" s="16">
        <f ca="1" t="shared" si="120"/>
        <v>0</v>
      </c>
    </row>
    <row r="1243" spans="2:7">
      <c r="B1243" s="17" t="str">
        <f t="shared" si="119"/>
        <v>7/2028</v>
      </c>
      <c r="C1243" s="18">
        <f t="shared" si="122"/>
        <v>46950</v>
      </c>
      <c r="D1243" s="18" t="str">
        <f t="shared" si="123"/>
        <v>16/07/2028 a 22/07/2028</v>
      </c>
      <c r="E1243" s="16">
        <f t="shared" si="118"/>
        <v>5940</v>
      </c>
      <c r="F1243" s="16">
        <f ca="1" t="shared" si="121"/>
        <v>0</v>
      </c>
      <c r="G1243" s="16">
        <f ca="1" t="shared" si="120"/>
        <v>0</v>
      </c>
    </row>
    <row r="1244" spans="2:7">
      <c r="B1244" s="17" t="str">
        <f t="shared" si="119"/>
        <v>7/2028</v>
      </c>
      <c r="C1244" s="18">
        <f t="shared" si="122"/>
        <v>46950</v>
      </c>
      <c r="D1244" s="18" t="str">
        <f t="shared" si="123"/>
        <v>16/07/2028 a 22/07/2028</v>
      </c>
      <c r="E1244" s="16">
        <f t="shared" si="118"/>
        <v>5942</v>
      </c>
      <c r="F1244" s="16">
        <f ca="1" t="shared" si="121"/>
        <v>0</v>
      </c>
      <c r="G1244" s="16">
        <f ca="1" t="shared" si="120"/>
        <v>0</v>
      </c>
    </row>
    <row r="1245" spans="2:7">
      <c r="B1245" s="17" t="str">
        <f t="shared" si="119"/>
        <v>7/2028</v>
      </c>
      <c r="C1245" s="18">
        <f t="shared" si="122"/>
        <v>46957</v>
      </c>
      <c r="D1245" s="18" t="str">
        <f t="shared" si="123"/>
        <v>23/07/2028 a 29/07/2028</v>
      </c>
      <c r="E1245" s="16">
        <f>E1240+24</f>
        <v>5958</v>
      </c>
      <c r="F1245" s="16">
        <f ca="1" t="shared" si="121"/>
        <v>0</v>
      </c>
      <c r="G1245" s="16">
        <f ca="1" t="shared" si="120"/>
        <v>0</v>
      </c>
    </row>
    <row r="1246" spans="2:7">
      <c r="B1246" s="17" t="str">
        <f t="shared" si="119"/>
        <v>7/2028</v>
      </c>
      <c r="C1246" s="18">
        <f t="shared" si="122"/>
        <v>46957</v>
      </c>
      <c r="D1246" s="18" t="str">
        <f t="shared" si="123"/>
        <v>23/07/2028 a 29/07/2028</v>
      </c>
      <c r="E1246" s="16">
        <f t="shared" si="118"/>
        <v>5960</v>
      </c>
      <c r="F1246" s="16">
        <f ca="1" t="shared" si="121"/>
        <v>0</v>
      </c>
      <c r="G1246" s="16">
        <f ca="1" t="shared" si="120"/>
        <v>0</v>
      </c>
    </row>
    <row r="1247" spans="2:7">
      <c r="B1247" s="17" t="str">
        <f t="shared" si="119"/>
        <v>7/2028</v>
      </c>
      <c r="C1247" s="18">
        <f t="shared" si="122"/>
        <v>46957</v>
      </c>
      <c r="D1247" s="18" t="str">
        <f t="shared" si="123"/>
        <v>23/07/2028 a 29/07/2028</v>
      </c>
      <c r="E1247" s="16">
        <f t="shared" si="118"/>
        <v>5962</v>
      </c>
      <c r="F1247" s="16">
        <f ca="1" t="shared" si="121"/>
        <v>0</v>
      </c>
      <c r="G1247" s="16">
        <f ca="1" t="shared" si="120"/>
        <v>0</v>
      </c>
    </row>
    <row r="1248" spans="2:7">
      <c r="B1248" s="17" t="str">
        <f t="shared" si="119"/>
        <v>7/2028</v>
      </c>
      <c r="C1248" s="18">
        <f t="shared" si="122"/>
        <v>46957</v>
      </c>
      <c r="D1248" s="18" t="str">
        <f t="shared" si="123"/>
        <v>23/07/2028 a 29/07/2028</v>
      </c>
      <c r="E1248" s="16">
        <f t="shared" si="118"/>
        <v>5964</v>
      </c>
      <c r="F1248" s="16">
        <f ca="1" t="shared" si="121"/>
        <v>0</v>
      </c>
      <c r="G1248" s="16">
        <f ca="1" t="shared" si="120"/>
        <v>0</v>
      </c>
    </row>
    <row r="1249" spans="2:7">
      <c r="B1249" s="17" t="str">
        <f t="shared" si="119"/>
        <v>7/2028</v>
      </c>
      <c r="C1249" s="18">
        <f t="shared" si="122"/>
        <v>46957</v>
      </c>
      <c r="D1249" s="18" t="str">
        <f t="shared" si="123"/>
        <v>23/07/2028 a 29/07/2028</v>
      </c>
      <c r="E1249" s="16">
        <f t="shared" si="118"/>
        <v>5966</v>
      </c>
      <c r="F1249" s="16">
        <f ca="1" t="shared" si="121"/>
        <v>0</v>
      </c>
      <c r="G1249" s="16">
        <f ca="1" t="shared" si="120"/>
        <v>0</v>
      </c>
    </row>
    <row r="1250" spans="2:7">
      <c r="B1250" s="17" t="str">
        <f t="shared" si="119"/>
        <v>7/2028</v>
      </c>
      <c r="C1250" s="18">
        <f t="shared" si="122"/>
        <v>46964</v>
      </c>
      <c r="D1250" s="18" t="str">
        <f t="shared" si="123"/>
        <v>30/07/2028 a 05/08/2028</v>
      </c>
      <c r="E1250" s="16">
        <f>E1245+24</f>
        <v>5982</v>
      </c>
      <c r="F1250" s="16">
        <f ca="1" t="shared" si="121"/>
        <v>0</v>
      </c>
      <c r="G1250" s="16">
        <f ca="1" t="shared" si="120"/>
        <v>0</v>
      </c>
    </row>
    <row r="1251" spans="2:7">
      <c r="B1251" s="17" t="str">
        <f t="shared" si="119"/>
        <v>7/2028</v>
      </c>
      <c r="C1251" s="18">
        <f t="shared" si="122"/>
        <v>46964</v>
      </c>
      <c r="D1251" s="18" t="str">
        <f t="shared" si="123"/>
        <v>30/07/2028 a 05/08/2028</v>
      </c>
      <c r="E1251" s="16">
        <f t="shared" si="118"/>
        <v>5984</v>
      </c>
      <c r="F1251" s="16">
        <f ca="1" t="shared" si="121"/>
        <v>0</v>
      </c>
      <c r="G1251" s="16">
        <f ca="1" t="shared" si="120"/>
        <v>0</v>
      </c>
    </row>
    <row r="1252" spans="2:7">
      <c r="B1252" s="17" t="str">
        <f t="shared" si="119"/>
        <v>7/2028</v>
      </c>
      <c r="C1252" s="18">
        <f t="shared" si="122"/>
        <v>46964</v>
      </c>
      <c r="D1252" s="18" t="str">
        <f t="shared" si="123"/>
        <v>30/07/2028 a 05/08/2028</v>
      </c>
      <c r="E1252" s="16">
        <f t="shared" si="118"/>
        <v>5986</v>
      </c>
      <c r="F1252" s="16">
        <f ca="1" t="shared" si="121"/>
        <v>0</v>
      </c>
      <c r="G1252" s="16">
        <f ca="1" t="shared" si="120"/>
        <v>0</v>
      </c>
    </row>
    <row r="1253" spans="2:7">
      <c r="B1253" s="17" t="str">
        <f t="shared" si="119"/>
        <v>7/2028</v>
      </c>
      <c r="C1253" s="18">
        <f t="shared" si="122"/>
        <v>46964</v>
      </c>
      <c r="D1253" s="18" t="str">
        <f t="shared" si="123"/>
        <v>30/07/2028 a 05/08/2028</v>
      </c>
      <c r="E1253" s="16">
        <f t="shared" si="118"/>
        <v>5988</v>
      </c>
      <c r="F1253" s="16">
        <f ca="1" t="shared" si="121"/>
        <v>0</v>
      </c>
      <c r="G1253" s="16">
        <f ca="1" t="shared" si="120"/>
        <v>0</v>
      </c>
    </row>
    <row r="1254" spans="2:7">
      <c r="B1254" s="17" t="str">
        <f t="shared" si="119"/>
        <v>7/2028</v>
      </c>
      <c r="C1254" s="18">
        <f t="shared" si="122"/>
        <v>46964</v>
      </c>
      <c r="D1254" s="18" t="str">
        <f t="shared" si="123"/>
        <v>30/07/2028 a 05/08/2028</v>
      </c>
      <c r="E1254" s="16">
        <f t="shared" si="118"/>
        <v>5990</v>
      </c>
      <c r="F1254" s="16">
        <f ca="1" t="shared" si="121"/>
        <v>0</v>
      </c>
      <c r="G1254" s="16">
        <f ca="1" t="shared" si="120"/>
        <v>0</v>
      </c>
    </row>
    <row r="1255" spans="2:7">
      <c r="B1255" s="17" t="str">
        <f t="shared" si="119"/>
        <v>8/2028</v>
      </c>
      <c r="C1255" s="18">
        <f t="shared" si="122"/>
        <v>46971</v>
      </c>
      <c r="D1255" s="18" t="str">
        <f t="shared" si="123"/>
        <v>06/08/2028 a 12/08/2028</v>
      </c>
      <c r="E1255" s="16">
        <f>E1250+24</f>
        <v>6006</v>
      </c>
      <c r="F1255" s="16">
        <f ca="1" t="shared" si="121"/>
        <v>0</v>
      </c>
      <c r="G1255" s="16">
        <f ca="1" t="shared" si="120"/>
        <v>0</v>
      </c>
    </row>
    <row r="1256" spans="2:7">
      <c r="B1256" s="17" t="str">
        <f t="shared" si="119"/>
        <v>8/2028</v>
      </c>
      <c r="C1256" s="18">
        <f t="shared" si="122"/>
        <v>46971</v>
      </c>
      <c r="D1256" s="18" t="str">
        <f t="shared" si="123"/>
        <v>06/08/2028 a 12/08/2028</v>
      </c>
      <c r="E1256" s="16">
        <f t="shared" si="118"/>
        <v>6008</v>
      </c>
      <c r="F1256" s="16">
        <f ca="1" t="shared" si="121"/>
        <v>0</v>
      </c>
      <c r="G1256" s="16">
        <f ca="1" t="shared" si="120"/>
        <v>0</v>
      </c>
    </row>
    <row r="1257" spans="2:7">
      <c r="B1257" s="17" t="str">
        <f t="shared" si="119"/>
        <v>8/2028</v>
      </c>
      <c r="C1257" s="18">
        <f t="shared" si="122"/>
        <v>46971</v>
      </c>
      <c r="D1257" s="18" t="str">
        <f t="shared" si="123"/>
        <v>06/08/2028 a 12/08/2028</v>
      </c>
      <c r="E1257" s="16">
        <f t="shared" si="118"/>
        <v>6010</v>
      </c>
      <c r="F1257" s="16">
        <f ca="1" t="shared" si="121"/>
        <v>0</v>
      </c>
      <c r="G1257" s="16">
        <f ca="1" t="shared" si="120"/>
        <v>0</v>
      </c>
    </row>
    <row r="1258" spans="2:7">
      <c r="B1258" s="17" t="str">
        <f t="shared" si="119"/>
        <v>8/2028</v>
      </c>
      <c r="C1258" s="18">
        <f t="shared" si="122"/>
        <v>46971</v>
      </c>
      <c r="D1258" s="18" t="str">
        <f t="shared" si="123"/>
        <v>06/08/2028 a 12/08/2028</v>
      </c>
      <c r="E1258" s="16">
        <f t="shared" si="118"/>
        <v>6012</v>
      </c>
      <c r="F1258" s="16">
        <f ca="1" t="shared" si="121"/>
        <v>0</v>
      </c>
      <c r="G1258" s="16">
        <f ca="1" t="shared" si="120"/>
        <v>0</v>
      </c>
    </row>
    <row r="1259" spans="2:7">
      <c r="B1259" s="17" t="str">
        <f t="shared" si="119"/>
        <v>8/2028</v>
      </c>
      <c r="C1259" s="18">
        <f t="shared" si="122"/>
        <v>46971</v>
      </c>
      <c r="D1259" s="18" t="str">
        <f t="shared" si="123"/>
        <v>06/08/2028 a 12/08/2028</v>
      </c>
      <c r="E1259" s="16">
        <f t="shared" si="118"/>
        <v>6014</v>
      </c>
      <c r="F1259" s="16">
        <f ca="1" t="shared" si="121"/>
        <v>0</v>
      </c>
      <c r="G1259" s="16">
        <f ca="1" t="shared" si="120"/>
        <v>0</v>
      </c>
    </row>
    <row r="1260" spans="2:7">
      <c r="B1260" s="17" t="str">
        <f t="shared" si="119"/>
        <v>8/2028</v>
      </c>
      <c r="C1260" s="18">
        <f t="shared" si="122"/>
        <v>46978</v>
      </c>
      <c r="D1260" s="18" t="str">
        <f t="shared" si="123"/>
        <v>13/08/2028 a 19/08/2028</v>
      </c>
      <c r="E1260" s="16">
        <f>E1255+24</f>
        <v>6030</v>
      </c>
      <c r="F1260" s="16">
        <f ca="1" t="shared" si="121"/>
        <v>0</v>
      </c>
      <c r="G1260" s="16">
        <f ca="1" t="shared" si="120"/>
        <v>0</v>
      </c>
    </row>
    <row r="1261" spans="2:7">
      <c r="B1261" s="17" t="str">
        <f t="shared" si="119"/>
        <v>8/2028</v>
      </c>
      <c r="C1261" s="18">
        <f t="shared" si="122"/>
        <v>46978</v>
      </c>
      <c r="D1261" s="18" t="str">
        <f t="shared" si="123"/>
        <v>13/08/2028 a 19/08/2028</v>
      </c>
      <c r="E1261" s="16">
        <f t="shared" ref="E1261:E1324" si="124">E1260+2</f>
        <v>6032</v>
      </c>
      <c r="F1261" s="16">
        <f ca="1" t="shared" si="121"/>
        <v>0</v>
      </c>
      <c r="G1261" s="16">
        <f ca="1" t="shared" si="120"/>
        <v>0</v>
      </c>
    </row>
    <row r="1262" spans="2:7">
      <c r="B1262" s="17" t="str">
        <f t="shared" si="119"/>
        <v>8/2028</v>
      </c>
      <c r="C1262" s="18">
        <f t="shared" si="122"/>
        <v>46978</v>
      </c>
      <c r="D1262" s="18" t="str">
        <f t="shared" si="123"/>
        <v>13/08/2028 a 19/08/2028</v>
      </c>
      <c r="E1262" s="16">
        <f t="shared" si="124"/>
        <v>6034</v>
      </c>
      <c r="F1262" s="16">
        <f ca="1" t="shared" si="121"/>
        <v>0</v>
      </c>
      <c r="G1262" s="16">
        <f ca="1" t="shared" si="120"/>
        <v>0</v>
      </c>
    </row>
    <row r="1263" spans="2:7">
      <c r="B1263" s="17" t="str">
        <f t="shared" si="119"/>
        <v>8/2028</v>
      </c>
      <c r="C1263" s="18">
        <f t="shared" si="122"/>
        <v>46978</v>
      </c>
      <c r="D1263" s="18" t="str">
        <f t="shared" si="123"/>
        <v>13/08/2028 a 19/08/2028</v>
      </c>
      <c r="E1263" s="16">
        <f t="shared" si="124"/>
        <v>6036</v>
      </c>
      <c r="F1263" s="16">
        <f ca="1" t="shared" si="121"/>
        <v>0</v>
      </c>
      <c r="G1263" s="16">
        <f ca="1" t="shared" si="120"/>
        <v>0</v>
      </c>
    </row>
    <row r="1264" spans="2:7">
      <c r="B1264" s="17" t="str">
        <f t="shared" si="119"/>
        <v>8/2028</v>
      </c>
      <c r="C1264" s="18">
        <f t="shared" si="122"/>
        <v>46978</v>
      </c>
      <c r="D1264" s="18" t="str">
        <f t="shared" si="123"/>
        <v>13/08/2028 a 19/08/2028</v>
      </c>
      <c r="E1264" s="16">
        <f t="shared" si="124"/>
        <v>6038</v>
      </c>
      <c r="F1264" s="16">
        <f ca="1" t="shared" si="121"/>
        <v>0</v>
      </c>
      <c r="G1264" s="16">
        <f ca="1" t="shared" si="120"/>
        <v>0</v>
      </c>
    </row>
    <row r="1265" spans="2:7">
      <c r="B1265" s="17" t="str">
        <f t="shared" si="119"/>
        <v>8/2028</v>
      </c>
      <c r="C1265" s="18">
        <f t="shared" si="122"/>
        <v>46985</v>
      </c>
      <c r="D1265" s="18" t="str">
        <f t="shared" si="123"/>
        <v>20/08/2028 a 26/08/2028</v>
      </c>
      <c r="E1265" s="16">
        <f>E1260+24</f>
        <v>6054</v>
      </c>
      <c r="F1265" s="16">
        <f ca="1" t="shared" si="121"/>
        <v>0</v>
      </c>
      <c r="G1265" s="16">
        <f ca="1" t="shared" si="120"/>
        <v>0</v>
      </c>
    </row>
    <row r="1266" spans="2:7">
      <c r="B1266" s="17" t="str">
        <f t="shared" si="119"/>
        <v>8/2028</v>
      </c>
      <c r="C1266" s="18">
        <f t="shared" si="122"/>
        <v>46985</v>
      </c>
      <c r="D1266" s="18" t="str">
        <f t="shared" si="123"/>
        <v>20/08/2028 a 26/08/2028</v>
      </c>
      <c r="E1266" s="16">
        <f t="shared" si="124"/>
        <v>6056</v>
      </c>
      <c r="F1266" s="16">
        <f ca="1" t="shared" si="121"/>
        <v>0</v>
      </c>
      <c r="G1266" s="16">
        <f ca="1" t="shared" si="120"/>
        <v>0</v>
      </c>
    </row>
    <row r="1267" spans="2:7">
      <c r="B1267" s="17" t="str">
        <f t="shared" si="119"/>
        <v>8/2028</v>
      </c>
      <c r="C1267" s="18">
        <f t="shared" si="122"/>
        <v>46985</v>
      </c>
      <c r="D1267" s="18" t="str">
        <f t="shared" si="123"/>
        <v>20/08/2028 a 26/08/2028</v>
      </c>
      <c r="E1267" s="16">
        <f t="shared" si="124"/>
        <v>6058</v>
      </c>
      <c r="F1267" s="16">
        <f ca="1" t="shared" si="121"/>
        <v>0</v>
      </c>
      <c r="G1267" s="16">
        <f ca="1" t="shared" si="120"/>
        <v>0</v>
      </c>
    </row>
    <row r="1268" spans="2:7">
      <c r="B1268" s="17" t="str">
        <f t="shared" si="119"/>
        <v>8/2028</v>
      </c>
      <c r="C1268" s="18">
        <f t="shared" si="122"/>
        <v>46985</v>
      </c>
      <c r="D1268" s="18" t="str">
        <f t="shared" si="123"/>
        <v>20/08/2028 a 26/08/2028</v>
      </c>
      <c r="E1268" s="16">
        <f t="shared" si="124"/>
        <v>6060</v>
      </c>
      <c r="F1268" s="16">
        <f ca="1" t="shared" si="121"/>
        <v>0</v>
      </c>
      <c r="G1268" s="16">
        <f ca="1" t="shared" si="120"/>
        <v>0</v>
      </c>
    </row>
    <row r="1269" spans="2:7">
      <c r="B1269" s="17" t="str">
        <f t="shared" si="119"/>
        <v>8/2028</v>
      </c>
      <c r="C1269" s="18">
        <f t="shared" si="122"/>
        <v>46985</v>
      </c>
      <c r="D1269" s="18" t="str">
        <f t="shared" si="123"/>
        <v>20/08/2028 a 26/08/2028</v>
      </c>
      <c r="E1269" s="16">
        <f t="shared" si="124"/>
        <v>6062</v>
      </c>
      <c r="F1269" s="16">
        <f ca="1" t="shared" si="121"/>
        <v>0</v>
      </c>
      <c r="G1269" s="16">
        <f ca="1" t="shared" si="120"/>
        <v>0</v>
      </c>
    </row>
    <row r="1270" spans="2:7">
      <c r="B1270" s="17" t="str">
        <f t="shared" si="119"/>
        <v>8/2028</v>
      </c>
      <c r="C1270" s="18">
        <f t="shared" si="122"/>
        <v>46992</v>
      </c>
      <c r="D1270" s="18" t="str">
        <f t="shared" si="123"/>
        <v>27/08/2028 a 02/09/2028</v>
      </c>
      <c r="E1270" s="16">
        <f>E1265+24</f>
        <v>6078</v>
      </c>
      <c r="F1270" s="16">
        <f ca="1" t="shared" si="121"/>
        <v>0</v>
      </c>
      <c r="G1270" s="16">
        <f ca="1" t="shared" si="120"/>
        <v>0</v>
      </c>
    </row>
    <row r="1271" spans="2:7">
      <c r="B1271" s="17" t="str">
        <f t="shared" si="119"/>
        <v>8/2028</v>
      </c>
      <c r="C1271" s="18">
        <f t="shared" si="122"/>
        <v>46992</v>
      </c>
      <c r="D1271" s="18" t="str">
        <f t="shared" si="123"/>
        <v>27/08/2028 a 02/09/2028</v>
      </c>
      <c r="E1271" s="16">
        <f t="shared" si="124"/>
        <v>6080</v>
      </c>
      <c r="F1271" s="16">
        <f ca="1" t="shared" si="121"/>
        <v>0</v>
      </c>
      <c r="G1271" s="16">
        <f ca="1" t="shared" si="120"/>
        <v>0</v>
      </c>
    </row>
    <row r="1272" spans="2:7">
      <c r="B1272" s="17" t="str">
        <f t="shared" si="119"/>
        <v>8/2028</v>
      </c>
      <c r="C1272" s="18">
        <f t="shared" si="122"/>
        <v>46992</v>
      </c>
      <c r="D1272" s="18" t="str">
        <f t="shared" si="123"/>
        <v>27/08/2028 a 02/09/2028</v>
      </c>
      <c r="E1272" s="16">
        <f t="shared" si="124"/>
        <v>6082</v>
      </c>
      <c r="F1272" s="16">
        <f ca="1" t="shared" si="121"/>
        <v>0</v>
      </c>
      <c r="G1272" s="16">
        <f ca="1" t="shared" si="120"/>
        <v>0</v>
      </c>
    </row>
    <row r="1273" spans="2:7">
      <c r="B1273" s="17" t="str">
        <f t="shared" ref="B1273:B1336" si="125">MONTH(C1273)&amp;"/"&amp;YEAR(C1273)</f>
        <v>8/2028</v>
      </c>
      <c r="C1273" s="18">
        <f t="shared" si="122"/>
        <v>46992</v>
      </c>
      <c r="D1273" s="18" t="str">
        <f t="shared" si="123"/>
        <v>27/08/2028 a 02/09/2028</v>
      </c>
      <c r="E1273" s="16">
        <f t="shared" si="124"/>
        <v>6084</v>
      </c>
      <c r="F1273" s="16">
        <f ca="1" t="shared" si="121"/>
        <v>0</v>
      </c>
      <c r="G1273" s="16">
        <f ca="1" t="shared" ref="G1273:G1336" si="126">INDIRECT("'Diário'!J"&amp;E1273)</f>
        <v>0</v>
      </c>
    </row>
    <row r="1274" spans="2:7">
      <c r="B1274" s="17" t="str">
        <f t="shared" si="125"/>
        <v>8/2028</v>
      </c>
      <c r="C1274" s="18">
        <f t="shared" si="122"/>
        <v>46992</v>
      </c>
      <c r="D1274" s="18" t="str">
        <f t="shared" si="123"/>
        <v>27/08/2028 a 02/09/2028</v>
      </c>
      <c r="E1274" s="16">
        <f t="shared" si="124"/>
        <v>6086</v>
      </c>
      <c r="F1274" s="16">
        <f ca="1" t="shared" si="121"/>
        <v>0</v>
      </c>
      <c r="G1274" s="16">
        <f ca="1" t="shared" si="126"/>
        <v>0</v>
      </c>
    </row>
    <row r="1275" spans="2:7">
      <c r="B1275" s="17" t="str">
        <f t="shared" si="125"/>
        <v>9/2028</v>
      </c>
      <c r="C1275" s="18">
        <f t="shared" si="122"/>
        <v>46999</v>
      </c>
      <c r="D1275" s="18" t="str">
        <f t="shared" si="123"/>
        <v>03/09/2028 a 09/09/2028</v>
      </c>
      <c r="E1275" s="16">
        <f>E1270+24</f>
        <v>6102</v>
      </c>
      <c r="F1275" s="16">
        <f ca="1" t="shared" si="121"/>
        <v>0</v>
      </c>
      <c r="G1275" s="16">
        <f ca="1" t="shared" si="126"/>
        <v>0</v>
      </c>
    </row>
    <row r="1276" spans="2:7">
      <c r="B1276" s="17" t="str">
        <f t="shared" si="125"/>
        <v>9/2028</v>
      </c>
      <c r="C1276" s="18">
        <f t="shared" si="122"/>
        <v>46999</v>
      </c>
      <c r="D1276" s="18" t="str">
        <f t="shared" si="123"/>
        <v>03/09/2028 a 09/09/2028</v>
      </c>
      <c r="E1276" s="16">
        <f t="shared" si="124"/>
        <v>6104</v>
      </c>
      <c r="F1276" s="16">
        <f ca="1" t="shared" si="121"/>
        <v>0</v>
      </c>
      <c r="G1276" s="16">
        <f ca="1" t="shared" si="126"/>
        <v>0</v>
      </c>
    </row>
    <row r="1277" spans="2:7">
      <c r="B1277" s="17" t="str">
        <f t="shared" si="125"/>
        <v>9/2028</v>
      </c>
      <c r="C1277" s="18">
        <f t="shared" si="122"/>
        <v>46999</v>
      </c>
      <c r="D1277" s="18" t="str">
        <f t="shared" si="123"/>
        <v>03/09/2028 a 09/09/2028</v>
      </c>
      <c r="E1277" s="16">
        <f t="shared" si="124"/>
        <v>6106</v>
      </c>
      <c r="F1277" s="16">
        <f ca="1" t="shared" si="121"/>
        <v>0</v>
      </c>
      <c r="G1277" s="16">
        <f ca="1" t="shared" si="126"/>
        <v>0</v>
      </c>
    </row>
    <row r="1278" spans="2:7">
      <c r="B1278" s="17" t="str">
        <f t="shared" si="125"/>
        <v>9/2028</v>
      </c>
      <c r="C1278" s="18">
        <f t="shared" si="122"/>
        <v>46999</v>
      </c>
      <c r="D1278" s="18" t="str">
        <f t="shared" si="123"/>
        <v>03/09/2028 a 09/09/2028</v>
      </c>
      <c r="E1278" s="16">
        <f t="shared" si="124"/>
        <v>6108</v>
      </c>
      <c r="F1278" s="16">
        <f ca="1" t="shared" ref="F1278:F1341" si="127">INDIRECT("Diário!I"&amp;E1278)</f>
        <v>0</v>
      </c>
      <c r="G1278" s="16">
        <f ca="1" t="shared" si="126"/>
        <v>0</v>
      </c>
    </row>
    <row r="1279" spans="2:7">
      <c r="B1279" s="17" t="str">
        <f t="shared" si="125"/>
        <v>9/2028</v>
      </c>
      <c r="C1279" s="18">
        <f t="shared" si="122"/>
        <v>46999</v>
      </c>
      <c r="D1279" s="18" t="str">
        <f t="shared" si="123"/>
        <v>03/09/2028 a 09/09/2028</v>
      </c>
      <c r="E1279" s="16">
        <f t="shared" si="124"/>
        <v>6110</v>
      </c>
      <c r="F1279" s="16">
        <f ca="1" t="shared" si="127"/>
        <v>0</v>
      </c>
      <c r="G1279" s="16">
        <f ca="1" t="shared" si="126"/>
        <v>0</v>
      </c>
    </row>
    <row r="1280" spans="2:7">
      <c r="B1280" s="17" t="str">
        <f t="shared" si="125"/>
        <v>9/2028</v>
      </c>
      <c r="C1280" s="18">
        <f t="shared" si="122"/>
        <v>47006</v>
      </c>
      <c r="D1280" s="18" t="str">
        <f t="shared" si="123"/>
        <v>10/09/2028 a 16/09/2028</v>
      </c>
      <c r="E1280" s="16">
        <f>E1275+24</f>
        <v>6126</v>
      </c>
      <c r="F1280" s="16">
        <f ca="1" t="shared" si="127"/>
        <v>0</v>
      </c>
      <c r="G1280" s="16">
        <f ca="1" t="shared" si="126"/>
        <v>0</v>
      </c>
    </row>
    <row r="1281" spans="2:7">
      <c r="B1281" s="17" t="str">
        <f t="shared" si="125"/>
        <v>9/2028</v>
      </c>
      <c r="C1281" s="18">
        <f t="shared" si="122"/>
        <v>47006</v>
      </c>
      <c r="D1281" s="18" t="str">
        <f t="shared" si="123"/>
        <v>10/09/2028 a 16/09/2028</v>
      </c>
      <c r="E1281" s="16">
        <f t="shared" si="124"/>
        <v>6128</v>
      </c>
      <c r="F1281" s="16">
        <f ca="1" t="shared" si="127"/>
        <v>0</v>
      </c>
      <c r="G1281" s="16">
        <f ca="1" t="shared" si="126"/>
        <v>0</v>
      </c>
    </row>
    <row r="1282" spans="2:7">
      <c r="B1282" s="17" t="str">
        <f t="shared" si="125"/>
        <v>9/2028</v>
      </c>
      <c r="C1282" s="18">
        <f t="shared" si="122"/>
        <v>47006</v>
      </c>
      <c r="D1282" s="18" t="str">
        <f t="shared" si="123"/>
        <v>10/09/2028 a 16/09/2028</v>
      </c>
      <c r="E1282" s="16">
        <f t="shared" si="124"/>
        <v>6130</v>
      </c>
      <c r="F1282" s="16">
        <f ca="1" t="shared" si="127"/>
        <v>0</v>
      </c>
      <c r="G1282" s="16">
        <f ca="1" t="shared" si="126"/>
        <v>0</v>
      </c>
    </row>
    <row r="1283" spans="2:7">
      <c r="B1283" s="17" t="str">
        <f t="shared" si="125"/>
        <v>9/2028</v>
      </c>
      <c r="C1283" s="18">
        <f t="shared" si="122"/>
        <v>47006</v>
      </c>
      <c r="D1283" s="18" t="str">
        <f t="shared" si="123"/>
        <v>10/09/2028 a 16/09/2028</v>
      </c>
      <c r="E1283" s="16">
        <f t="shared" si="124"/>
        <v>6132</v>
      </c>
      <c r="F1283" s="16">
        <f ca="1" t="shared" si="127"/>
        <v>0</v>
      </c>
      <c r="G1283" s="16">
        <f ca="1" t="shared" si="126"/>
        <v>0</v>
      </c>
    </row>
    <row r="1284" spans="2:7">
      <c r="B1284" s="17" t="str">
        <f t="shared" si="125"/>
        <v>9/2028</v>
      </c>
      <c r="C1284" s="18">
        <f t="shared" si="122"/>
        <v>47006</v>
      </c>
      <c r="D1284" s="18" t="str">
        <f t="shared" si="123"/>
        <v>10/09/2028 a 16/09/2028</v>
      </c>
      <c r="E1284" s="16">
        <f t="shared" si="124"/>
        <v>6134</v>
      </c>
      <c r="F1284" s="16">
        <f ca="1" t="shared" si="127"/>
        <v>0</v>
      </c>
      <c r="G1284" s="16">
        <f ca="1" t="shared" si="126"/>
        <v>0</v>
      </c>
    </row>
    <row r="1285" spans="2:7">
      <c r="B1285" s="17" t="str">
        <f t="shared" si="125"/>
        <v>9/2028</v>
      </c>
      <c r="C1285" s="18">
        <f t="shared" si="122"/>
        <v>47013</v>
      </c>
      <c r="D1285" s="18" t="str">
        <f t="shared" si="123"/>
        <v>17/09/2028 a 23/09/2028</v>
      </c>
      <c r="E1285" s="16">
        <f>E1280+24</f>
        <v>6150</v>
      </c>
      <c r="F1285" s="16">
        <f ca="1" t="shared" si="127"/>
        <v>0</v>
      </c>
      <c r="G1285" s="16">
        <f ca="1" t="shared" si="126"/>
        <v>0</v>
      </c>
    </row>
    <row r="1286" spans="2:7">
      <c r="B1286" s="17" t="str">
        <f t="shared" si="125"/>
        <v>9/2028</v>
      </c>
      <c r="C1286" s="18">
        <f t="shared" si="122"/>
        <v>47013</v>
      </c>
      <c r="D1286" s="18" t="str">
        <f t="shared" si="123"/>
        <v>17/09/2028 a 23/09/2028</v>
      </c>
      <c r="E1286" s="16">
        <f t="shared" si="124"/>
        <v>6152</v>
      </c>
      <c r="F1286" s="16">
        <f ca="1" t="shared" si="127"/>
        <v>0</v>
      </c>
      <c r="G1286" s="16">
        <f ca="1" t="shared" si="126"/>
        <v>0</v>
      </c>
    </row>
    <row r="1287" spans="2:7">
      <c r="B1287" s="17" t="str">
        <f t="shared" si="125"/>
        <v>9/2028</v>
      </c>
      <c r="C1287" s="18">
        <f t="shared" si="122"/>
        <v>47013</v>
      </c>
      <c r="D1287" s="18" t="str">
        <f t="shared" si="123"/>
        <v>17/09/2028 a 23/09/2028</v>
      </c>
      <c r="E1287" s="16">
        <f t="shared" si="124"/>
        <v>6154</v>
      </c>
      <c r="F1287" s="16">
        <f ca="1" t="shared" si="127"/>
        <v>0</v>
      </c>
      <c r="G1287" s="16">
        <f ca="1" t="shared" si="126"/>
        <v>0</v>
      </c>
    </row>
    <row r="1288" spans="2:7">
      <c r="B1288" s="17" t="str">
        <f t="shared" si="125"/>
        <v>9/2028</v>
      </c>
      <c r="C1288" s="18">
        <f t="shared" si="122"/>
        <v>47013</v>
      </c>
      <c r="D1288" s="18" t="str">
        <f t="shared" si="123"/>
        <v>17/09/2028 a 23/09/2028</v>
      </c>
      <c r="E1288" s="16">
        <f t="shared" si="124"/>
        <v>6156</v>
      </c>
      <c r="F1288" s="16">
        <f ca="1" t="shared" si="127"/>
        <v>0</v>
      </c>
      <c r="G1288" s="16">
        <f ca="1" t="shared" si="126"/>
        <v>0</v>
      </c>
    </row>
    <row r="1289" spans="2:7">
      <c r="B1289" s="17" t="str">
        <f t="shared" si="125"/>
        <v>9/2028</v>
      </c>
      <c r="C1289" s="18">
        <f t="shared" si="122"/>
        <v>47013</v>
      </c>
      <c r="D1289" s="18" t="str">
        <f t="shared" si="123"/>
        <v>17/09/2028 a 23/09/2028</v>
      </c>
      <c r="E1289" s="16">
        <f t="shared" si="124"/>
        <v>6158</v>
      </c>
      <c r="F1289" s="16">
        <f ca="1" t="shared" si="127"/>
        <v>0</v>
      </c>
      <c r="G1289" s="16">
        <f ca="1" t="shared" si="126"/>
        <v>0</v>
      </c>
    </row>
    <row r="1290" spans="2:7">
      <c r="B1290" s="17" t="str">
        <f t="shared" si="125"/>
        <v>9/2028</v>
      </c>
      <c r="C1290" s="18">
        <f t="shared" si="122"/>
        <v>47020</v>
      </c>
      <c r="D1290" s="18" t="str">
        <f t="shared" si="123"/>
        <v>24/09/2028 a 30/09/2028</v>
      </c>
      <c r="E1290" s="16">
        <f>E1285+24</f>
        <v>6174</v>
      </c>
      <c r="F1290" s="16">
        <f ca="1" t="shared" si="127"/>
        <v>0</v>
      </c>
      <c r="G1290" s="16">
        <f ca="1" t="shared" si="126"/>
        <v>0</v>
      </c>
    </row>
    <row r="1291" spans="2:7">
      <c r="B1291" s="17" t="str">
        <f t="shared" si="125"/>
        <v>9/2028</v>
      </c>
      <c r="C1291" s="18">
        <f t="shared" si="122"/>
        <v>47020</v>
      </c>
      <c r="D1291" s="18" t="str">
        <f t="shared" si="123"/>
        <v>24/09/2028 a 30/09/2028</v>
      </c>
      <c r="E1291" s="16">
        <f t="shared" si="124"/>
        <v>6176</v>
      </c>
      <c r="F1291" s="16">
        <f ca="1" t="shared" si="127"/>
        <v>0</v>
      </c>
      <c r="G1291" s="16">
        <f ca="1" t="shared" si="126"/>
        <v>0</v>
      </c>
    </row>
    <row r="1292" spans="2:7">
      <c r="B1292" s="17" t="str">
        <f t="shared" si="125"/>
        <v>9/2028</v>
      </c>
      <c r="C1292" s="18">
        <f t="shared" si="122"/>
        <v>47020</v>
      </c>
      <c r="D1292" s="18" t="str">
        <f t="shared" si="123"/>
        <v>24/09/2028 a 30/09/2028</v>
      </c>
      <c r="E1292" s="16">
        <f t="shared" si="124"/>
        <v>6178</v>
      </c>
      <c r="F1292" s="16">
        <f ca="1" t="shared" si="127"/>
        <v>0</v>
      </c>
      <c r="G1292" s="16">
        <f ca="1" t="shared" si="126"/>
        <v>0</v>
      </c>
    </row>
    <row r="1293" spans="2:7">
      <c r="B1293" s="17" t="str">
        <f t="shared" si="125"/>
        <v>9/2028</v>
      </c>
      <c r="C1293" s="18">
        <f t="shared" si="122"/>
        <v>47020</v>
      </c>
      <c r="D1293" s="18" t="str">
        <f t="shared" si="123"/>
        <v>24/09/2028 a 30/09/2028</v>
      </c>
      <c r="E1293" s="16">
        <f t="shared" si="124"/>
        <v>6180</v>
      </c>
      <c r="F1293" s="16">
        <f ca="1" t="shared" si="127"/>
        <v>0</v>
      </c>
      <c r="G1293" s="16">
        <f ca="1" t="shared" si="126"/>
        <v>0</v>
      </c>
    </row>
    <row r="1294" spans="2:7">
      <c r="B1294" s="17" t="str">
        <f t="shared" si="125"/>
        <v>9/2028</v>
      </c>
      <c r="C1294" s="18">
        <f t="shared" si="122"/>
        <v>47020</v>
      </c>
      <c r="D1294" s="18" t="str">
        <f t="shared" si="123"/>
        <v>24/09/2028 a 30/09/2028</v>
      </c>
      <c r="E1294" s="16">
        <f t="shared" si="124"/>
        <v>6182</v>
      </c>
      <c r="F1294" s="16">
        <f ca="1" t="shared" si="127"/>
        <v>0</v>
      </c>
      <c r="G1294" s="16">
        <f ca="1" t="shared" si="126"/>
        <v>0</v>
      </c>
    </row>
    <row r="1295" spans="2:7">
      <c r="B1295" s="17" t="str">
        <f t="shared" si="125"/>
        <v>10/2028</v>
      </c>
      <c r="C1295" s="18">
        <f t="shared" si="122"/>
        <v>47027</v>
      </c>
      <c r="D1295" s="18" t="str">
        <f t="shared" si="123"/>
        <v>01/10/2028 a 07/10/2028</v>
      </c>
      <c r="E1295" s="16">
        <f>E1290+24</f>
        <v>6198</v>
      </c>
      <c r="F1295" s="16">
        <f ca="1" t="shared" si="127"/>
        <v>0</v>
      </c>
      <c r="G1295" s="16">
        <f ca="1" t="shared" si="126"/>
        <v>0</v>
      </c>
    </row>
    <row r="1296" spans="2:7">
      <c r="B1296" s="17" t="str">
        <f t="shared" si="125"/>
        <v>10/2028</v>
      </c>
      <c r="C1296" s="18">
        <f t="shared" si="122"/>
        <v>47027</v>
      </c>
      <c r="D1296" s="18" t="str">
        <f t="shared" si="123"/>
        <v>01/10/2028 a 07/10/2028</v>
      </c>
      <c r="E1296" s="16">
        <f t="shared" si="124"/>
        <v>6200</v>
      </c>
      <c r="F1296" s="16">
        <f ca="1" t="shared" si="127"/>
        <v>0</v>
      </c>
      <c r="G1296" s="16">
        <f ca="1" t="shared" si="126"/>
        <v>0</v>
      </c>
    </row>
    <row r="1297" spans="2:7">
      <c r="B1297" s="17" t="str">
        <f t="shared" si="125"/>
        <v>10/2028</v>
      </c>
      <c r="C1297" s="18">
        <f t="shared" si="122"/>
        <v>47027</v>
      </c>
      <c r="D1297" s="18" t="str">
        <f t="shared" si="123"/>
        <v>01/10/2028 a 07/10/2028</v>
      </c>
      <c r="E1297" s="16">
        <f t="shared" si="124"/>
        <v>6202</v>
      </c>
      <c r="F1297" s="16">
        <f ca="1" t="shared" si="127"/>
        <v>0</v>
      </c>
      <c r="G1297" s="16">
        <f ca="1" t="shared" si="126"/>
        <v>0</v>
      </c>
    </row>
    <row r="1298" spans="2:7">
      <c r="B1298" s="17" t="str">
        <f t="shared" si="125"/>
        <v>10/2028</v>
      </c>
      <c r="C1298" s="18">
        <f t="shared" ref="C1298:C1361" si="128">C1293+7</f>
        <v>47027</v>
      </c>
      <c r="D1298" s="18" t="str">
        <f t="shared" si="123"/>
        <v>01/10/2028 a 07/10/2028</v>
      </c>
      <c r="E1298" s="16">
        <f t="shared" si="124"/>
        <v>6204</v>
      </c>
      <c r="F1298" s="16">
        <f ca="1" t="shared" si="127"/>
        <v>0</v>
      </c>
      <c r="G1298" s="16">
        <f ca="1" t="shared" si="126"/>
        <v>0</v>
      </c>
    </row>
    <row r="1299" spans="2:7">
      <c r="B1299" s="17" t="str">
        <f t="shared" si="125"/>
        <v>10/2028</v>
      </c>
      <c r="C1299" s="18">
        <f t="shared" si="128"/>
        <v>47027</v>
      </c>
      <c r="D1299" s="18" t="str">
        <f t="shared" ref="D1299:D1362" si="129">TEXT((C1299),"DD/MM/AAAA")&amp;" a "&amp;TEXT((C1299+6),"DD/MM/AAAA")</f>
        <v>01/10/2028 a 07/10/2028</v>
      </c>
      <c r="E1299" s="16">
        <f t="shared" si="124"/>
        <v>6206</v>
      </c>
      <c r="F1299" s="16">
        <f ca="1" t="shared" si="127"/>
        <v>0</v>
      </c>
      <c r="G1299" s="16">
        <f ca="1" t="shared" si="126"/>
        <v>0</v>
      </c>
    </row>
    <row r="1300" spans="2:7">
      <c r="B1300" s="17" t="str">
        <f t="shared" si="125"/>
        <v>10/2028</v>
      </c>
      <c r="C1300" s="18">
        <f t="shared" si="128"/>
        <v>47034</v>
      </c>
      <c r="D1300" s="18" t="str">
        <f t="shared" si="129"/>
        <v>08/10/2028 a 14/10/2028</v>
      </c>
      <c r="E1300" s="16">
        <f>E1295+24</f>
        <v>6222</v>
      </c>
      <c r="F1300" s="16">
        <f ca="1" t="shared" si="127"/>
        <v>0</v>
      </c>
      <c r="G1300" s="16">
        <f ca="1" t="shared" si="126"/>
        <v>0</v>
      </c>
    </row>
    <row r="1301" spans="2:7">
      <c r="B1301" s="17" t="str">
        <f t="shared" si="125"/>
        <v>10/2028</v>
      </c>
      <c r="C1301" s="18">
        <f t="shared" si="128"/>
        <v>47034</v>
      </c>
      <c r="D1301" s="18" t="str">
        <f t="shared" si="129"/>
        <v>08/10/2028 a 14/10/2028</v>
      </c>
      <c r="E1301" s="16">
        <f t="shared" si="124"/>
        <v>6224</v>
      </c>
      <c r="F1301" s="16">
        <f ca="1" t="shared" si="127"/>
        <v>0</v>
      </c>
      <c r="G1301" s="16">
        <f ca="1" t="shared" si="126"/>
        <v>0</v>
      </c>
    </row>
    <row r="1302" spans="2:7">
      <c r="B1302" s="17" t="str">
        <f t="shared" si="125"/>
        <v>10/2028</v>
      </c>
      <c r="C1302" s="18">
        <f t="shared" si="128"/>
        <v>47034</v>
      </c>
      <c r="D1302" s="18" t="str">
        <f t="shared" si="129"/>
        <v>08/10/2028 a 14/10/2028</v>
      </c>
      <c r="E1302" s="16">
        <f t="shared" si="124"/>
        <v>6226</v>
      </c>
      <c r="F1302" s="16">
        <f ca="1" t="shared" si="127"/>
        <v>0</v>
      </c>
      <c r="G1302" s="16">
        <f ca="1" t="shared" si="126"/>
        <v>0</v>
      </c>
    </row>
    <row r="1303" spans="2:7">
      <c r="B1303" s="17" t="str">
        <f t="shared" si="125"/>
        <v>10/2028</v>
      </c>
      <c r="C1303" s="18">
        <f t="shared" si="128"/>
        <v>47034</v>
      </c>
      <c r="D1303" s="18" t="str">
        <f t="shared" si="129"/>
        <v>08/10/2028 a 14/10/2028</v>
      </c>
      <c r="E1303" s="16">
        <f t="shared" si="124"/>
        <v>6228</v>
      </c>
      <c r="F1303" s="16">
        <f ca="1" t="shared" si="127"/>
        <v>0</v>
      </c>
      <c r="G1303" s="16">
        <f ca="1" t="shared" si="126"/>
        <v>0</v>
      </c>
    </row>
    <row r="1304" spans="2:7">
      <c r="B1304" s="17" t="str">
        <f t="shared" si="125"/>
        <v>10/2028</v>
      </c>
      <c r="C1304" s="18">
        <f t="shared" si="128"/>
        <v>47034</v>
      </c>
      <c r="D1304" s="18" t="str">
        <f t="shared" si="129"/>
        <v>08/10/2028 a 14/10/2028</v>
      </c>
      <c r="E1304" s="16">
        <f t="shared" si="124"/>
        <v>6230</v>
      </c>
      <c r="F1304" s="16">
        <f ca="1" t="shared" si="127"/>
        <v>0</v>
      </c>
      <c r="G1304" s="16">
        <f ca="1" t="shared" si="126"/>
        <v>0</v>
      </c>
    </row>
    <row r="1305" spans="2:7">
      <c r="B1305" s="17" t="str">
        <f t="shared" si="125"/>
        <v>10/2028</v>
      </c>
      <c r="C1305" s="18">
        <f t="shared" si="128"/>
        <v>47041</v>
      </c>
      <c r="D1305" s="18" t="str">
        <f t="shared" si="129"/>
        <v>15/10/2028 a 21/10/2028</v>
      </c>
      <c r="E1305" s="16">
        <f>E1300+24</f>
        <v>6246</v>
      </c>
      <c r="F1305" s="16">
        <f ca="1" t="shared" si="127"/>
        <v>0</v>
      </c>
      <c r="G1305" s="16">
        <f ca="1" t="shared" si="126"/>
        <v>0</v>
      </c>
    </row>
    <row r="1306" spans="2:7">
      <c r="B1306" s="17" t="str">
        <f t="shared" si="125"/>
        <v>10/2028</v>
      </c>
      <c r="C1306" s="18">
        <f t="shared" si="128"/>
        <v>47041</v>
      </c>
      <c r="D1306" s="18" t="str">
        <f t="shared" si="129"/>
        <v>15/10/2028 a 21/10/2028</v>
      </c>
      <c r="E1306" s="16">
        <f t="shared" si="124"/>
        <v>6248</v>
      </c>
      <c r="F1306" s="16">
        <f ca="1" t="shared" si="127"/>
        <v>0</v>
      </c>
      <c r="G1306" s="16">
        <f ca="1" t="shared" si="126"/>
        <v>0</v>
      </c>
    </row>
    <row r="1307" spans="2:7">
      <c r="B1307" s="17" t="str">
        <f t="shared" si="125"/>
        <v>10/2028</v>
      </c>
      <c r="C1307" s="18">
        <f t="shared" si="128"/>
        <v>47041</v>
      </c>
      <c r="D1307" s="18" t="str">
        <f t="shared" si="129"/>
        <v>15/10/2028 a 21/10/2028</v>
      </c>
      <c r="E1307" s="16">
        <f t="shared" si="124"/>
        <v>6250</v>
      </c>
      <c r="F1307" s="16">
        <f ca="1" t="shared" si="127"/>
        <v>0</v>
      </c>
      <c r="G1307" s="16">
        <f ca="1" t="shared" si="126"/>
        <v>0</v>
      </c>
    </row>
    <row r="1308" spans="2:7">
      <c r="B1308" s="17" t="str">
        <f t="shared" si="125"/>
        <v>10/2028</v>
      </c>
      <c r="C1308" s="18">
        <f t="shared" si="128"/>
        <v>47041</v>
      </c>
      <c r="D1308" s="18" t="str">
        <f t="shared" si="129"/>
        <v>15/10/2028 a 21/10/2028</v>
      </c>
      <c r="E1308" s="16">
        <f t="shared" si="124"/>
        <v>6252</v>
      </c>
      <c r="F1308" s="16">
        <f ca="1" t="shared" si="127"/>
        <v>0</v>
      </c>
      <c r="G1308" s="16">
        <f ca="1" t="shared" si="126"/>
        <v>0</v>
      </c>
    </row>
    <row r="1309" spans="2:7">
      <c r="B1309" s="17" t="str">
        <f t="shared" si="125"/>
        <v>10/2028</v>
      </c>
      <c r="C1309" s="18">
        <f t="shared" si="128"/>
        <v>47041</v>
      </c>
      <c r="D1309" s="18" t="str">
        <f t="shared" si="129"/>
        <v>15/10/2028 a 21/10/2028</v>
      </c>
      <c r="E1309" s="16">
        <f t="shared" si="124"/>
        <v>6254</v>
      </c>
      <c r="F1309" s="16">
        <f ca="1" t="shared" si="127"/>
        <v>0</v>
      </c>
      <c r="G1309" s="16">
        <f ca="1" t="shared" si="126"/>
        <v>0</v>
      </c>
    </row>
    <row r="1310" spans="2:7">
      <c r="B1310" s="17" t="str">
        <f t="shared" si="125"/>
        <v>10/2028</v>
      </c>
      <c r="C1310" s="18">
        <f t="shared" si="128"/>
        <v>47048</v>
      </c>
      <c r="D1310" s="18" t="str">
        <f t="shared" si="129"/>
        <v>22/10/2028 a 28/10/2028</v>
      </c>
      <c r="E1310" s="16">
        <f>E1305+24</f>
        <v>6270</v>
      </c>
      <c r="F1310" s="16">
        <f ca="1" t="shared" si="127"/>
        <v>0</v>
      </c>
      <c r="G1310" s="16">
        <f ca="1" t="shared" si="126"/>
        <v>0</v>
      </c>
    </row>
    <row r="1311" spans="2:7">
      <c r="B1311" s="17" t="str">
        <f t="shared" si="125"/>
        <v>10/2028</v>
      </c>
      <c r="C1311" s="18">
        <f t="shared" si="128"/>
        <v>47048</v>
      </c>
      <c r="D1311" s="18" t="str">
        <f t="shared" si="129"/>
        <v>22/10/2028 a 28/10/2028</v>
      </c>
      <c r="E1311" s="16">
        <f t="shared" si="124"/>
        <v>6272</v>
      </c>
      <c r="F1311" s="16">
        <f ca="1" t="shared" si="127"/>
        <v>0</v>
      </c>
      <c r="G1311" s="16">
        <f ca="1" t="shared" si="126"/>
        <v>0</v>
      </c>
    </row>
    <row r="1312" spans="2:7">
      <c r="B1312" s="17" t="str">
        <f t="shared" si="125"/>
        <v>10/2028</v>
      </c>
      <c r="C1312" s="18">
        <f t="shared" si="128"/>
        <v>47048</v>
      </c>
      <c r="D1312" s="18" t="str">
        <f t="shared" si="129"/>
        <v>22/10/2028 a 28/10/2028</v>
      </c>
      <c r="E1312" s="16">
        <f t="shared" si="124"/>
        <v>6274</v>
      </c>
      <c r="F1312" s="16">
        <f ca="1" t="shared" si="127"/>
        <v>0</v>
      </c>
      <c r="G1312" s="16">
        <f ca="1" t="shared" si="126"/>
        <v>0</v>
      </c>
    </row>
    <row r="1313" spans="2:7">
      <c r="B1313" s="17" t="str">
        <f t="shared" si="125"/>
        <v>10/2028</v>
      </c>
      <c r="C1313" s="18">
        <f t="shared" si="128"/>
        <v>47048</v>
      </c>
      <c r="D1313" s="18" t="str">
        <f t="shared" si="129"/>
        <v>22/10/2028 a 28/10/2028</v>
      </c>
      <c r="E1313" s="16">
        <f t="shared" si="124"/>
        <v>6276</v>
      </c>
      <c r="F1313" s="16">
        <f ca="1" t="shared" si="127"/>
        <v>0</v>
      </c>
      <c r="G1313" s="16">
        <f ca="1" t="shared" si="126"/>
        <v>0</v>
      </c>
    </row>
    <row r="1314" spans="2:7">
      <c r="B1314" s="17" t="str">
        <f t="shared" si="125"/>
        <v>10/2028</v>
      </c>
      <c r="C1314" s="18">
        <f t="shared" si="128"/>
        <v>47048</v>
      </c>
      <c r="D1314" s="18" t="str">
        <f t="shared" si="129"/>
        <v>22/10/2028 a 28/10/2028</v>
      </c>
      <c r="E1314" s="16">
        <f t="shared" si="124"/>
        <v>6278</v>
      </c>
      <c r="F1314" s="16">
        <f ca="1" t="shared" si="127"/>
        <v>0</v>
      </c>
      <c r="G1314" s="16">
        <f ca="1" t="shared" si="126"/>
        <v>0</v>
      </c>
    </row>
    <row r="1315" spans="2:7">
      <c r="B1315" s="17" t="str">
        <f t="shared" si="125"/>
        <v>10/2028</v>
      </c>
      <c r="C1315" s="18">
        <f t="shared" si="128"/>
        <v>47055</v>
      </c>
      <c r="D1315" s="18" t="str">
        <f t="shared" si="129"/>
        <v>29/10/2028 a 04/11/2028</v>
      </c>
      <c r="E1315" s="16">
        <f>E1310+24</f>
        <v>6294</v>
      </c>
      <c r="F1315" s="16">
        <f ca="1" t="shared" si="127"/>
        <v>0</v>
      </c>
      <c r="G1315" s="16">
        <f ca="1" t="shared" si="126"/>
        <v>0</v>
      </c>
    </row>
    <row r="1316" spans="2:7">
      <c r="B1316" s="17" t="str">
        <f t="shared" si="125"/>
        <v>10/2028</v>
      </c>
      <c r="C1316" s="18">
        <f t="shared" si="128"/>
        <v>47055</v>
      </c>
      <c r="D1316" s="18" t="str">
        <f t="shared" si="129"/>
        <v>29/10/2028 a 04/11/2028</v>
      </c>
      <c r="E1316" s="16">
        <f t="shared" si="124"/>
        <v>6296</v>
      </c>
      <c r="F1316" s="16">
        <f ca="1" t="shared" si="127"/>
        <v>0</v>
      </c>
      <c r="G1316" s="16">
        <f ca="1" t="shared" si="126"/>
        <v>0</v>
      </c>
    </row>
    <row r="1317" spans="2:7">
      <c r="B1317" s="17" t="str">
        <f t="shared" si="125"/>
        <v>10/2028</v>
      </c>
      <c r="C1317" s="18">
        <f t="shared" si="128"/>
        <v>47055</v>
      </c>
      <c r="D1317" s="18" t="str">
        <f t="shared" si="129"/>
        <v>29/10/2028 a 04/11/2028</v>
      </c>
      <c r="E1317" s="16">
        <f t="shared" si="124"/>
        <v>6298</v>
      </c>
      <c r="F1317" s="16">
        <f ca="1" t="shared" si="127"/>
        <v>0</v>
      </c>
      <c r="G1317" s="16">
        <f ca="1" t="shared" si="126"/>
        <v>0</v>
      </c>
    </row>
    <row r="1318" spans="2:7">
      <c r="B1318" s="17" t="str">
        <f t="shared" si="125"/>
        <v>10/2028</v>
      </c>
      <c r="C1318" s="18">
        <f t="shared" si="128"/>
        <v>47055</v>
      </c>
      <c r="D1318" s="18" t="str">
        <f t="shared" si="129"/>
        <v>29/10/2028 a 04/11/2028</v>
      </c>
      <c r="E1318" s="16">
        <f t="shared" si="124"/>
        <v>6300</v>
      </c>
      <c r="F1318" s="16">
        <f ca="1" t="shared" si="127"/>
        <v>0</v>
      </c>
      <c r="G1318" s="16">
        <f ca="1" t="shared" si="126"/>
        <v>0</v>
      </c>
    </row>
    <row r="1319" spans="2:7">
      <c r="B1319" s="17" t="str">
        <f t="shared" si="125"/>
        <v>10/2028</v>
      </c>
      <c r="C1319" s="18">
        <f t="shared" si="128"/>
        <v>47055</v>
      </c>
      <c r="D1319" s="18" t="str">
        <f t="shared" si="129"/>
        <v>29/10/2028 a 04/11/2028</v>
      </c>
      <c r="E1319" s="16">
        <f t="shared" si="124"/>
        <v>6302</v>
      </c>
      <c r="F1319" s="16">
        <f ca="1" t="shared" si="127"/>
        <v>0</v>
      </c>
      <c r="G1319" s="16">
        <f ca="1" t="shared" si="126"/>
        <v>0</v>
      </c>
    </row>
    <row r="1320" spans="2:7">
      <c r="B1320" s="17" t="str">
        <f t="shared" si="125"/>
        <v>11/2028</v>
      </c>
      <c r="C1320" s="18">
        <f t="shared" si="128"/>
        <v>47062</v>
      </c>
      <c r="D1320" s="18" t="str">
        <f t="shared" si="129"/>
        <v>05/11/2028 a 11/11/2028</v>
      </c>
      <c r="E1320" s="16">
        <f>E1315+24</f>
        <v>6318</v>
      </c>
      <c r="F1320" s="16">
        <f ca="1" t="shared" si="127"/>
        <v>0</v>
      </c>
      <c r="G1320" s="16">
        <f ca="1" t="shared" si="126"/>
        <v>0</v>
      </c>
    </row>
    <row r="1321" spans="2:7">
      <c r="B1321" s="17" t="str">
        <f t="shared" si="125"/>
        <v>11/2028</v>
      </c>
      <c r="C1321" s="18">
        <f t="shared" si="128"/>
        <v>47062</v>
      </c>
      <c r="D1321" s="18" t="str">
        <f t="shared" si="129"/>
        <v>05/11/2028 a 11/11/2028</v>
      </c>
      <c r="E1321" s="16">
        <f t="shared" si="124"/>
        <v>6320</v>
      </c>
      <c r="F1321" s="16">
        <f ca="1" t="shared" si="127"/>
        <v>0</v>
      </c>
      <c r="G1321" s="16">
        <f ca="1" t="shared" si="126"/>
        <v>0</v>
      </c>
    </row>
    <row r="1322" spans="2:7">
      <c r="B1322" s="17" t="str">
        <f t="shared" si="125"/>
        <v>11/2028</v>
      </c>
      <c r="C1322" s="18">
        <f t="shared" si="128"/>
        <v>47062</v>
      </c>
      <c r="D1322" s="18" t="str">
        <f t="shared" si="129"/>
        <v>05/11/2028 a 11/11/2028</v>
      </c>
      <c r="E1322" s="16">
        <f t="shared" si="124"/>
        <v>6322</v>
      </c>
      <c r="F1322" s="16">
        <f ca="1" t="shared" si="127"/>
        <v>0</v>
      </c>
      <c r="G1322" s="16">
        <f ca="1" t="shared" si="126"/>
        <v>0</v>
      </c>
    </row>
    <row r="1323" spans="2:7">
      <c r="B1323" s="17" t="str">
        <f t="shared" si="125"/>
        <v>11/2028</v>
      </c>
      <c r="C1323" s="18">
        <f t="shared" si="128"/>
        <v>47062</v>
      </c>
      <c r="D1323" s="18" t="str">
        <f t="shared" si="129"/>
        <v>05/11/2028 a 11/11/2028</v>
      </c>
      <c r="E1323" s="16">
        <f t="shared" si="124"/>
        <v>6324</v>
      </c>
      <c r="F1323" s="16">
        <f ca="1" t="shared" si="127"/>
        <v>0</v>
      </c>
      <c r="G1323" s="16">
        <f ca="1" t="shared" si="126"/>
        <v>0</v>
      </c>
    </row>
    <row r="1324" spans="2:7">
      <c r="B1324" s="17" t="str">
        <f t="shared" si="125"/>
        <v>11/2028</v>
      </c>
      <c r="C1324" s="18">
        <f t="shared" si="128"/>
        <v>47062</v>
      </c>
      <c r="D1324" s="18" t="str">
        <f t="shared" si="129"/>
        <v>05/11/2028 a 11/11/2028</v>
      </c>
      <c r="E1324" s="16">
        <f t="shared" si="124"/>
        <v>6326</v>
      </c>
      <c r="F1324" s="16">
        <f ca="1" t="shared" si="127"/>
        <v>0</v>
      </c>
      <c r="G1324" s="16">
        <f ca="1" t="shared" si="126"/>
        <v>0</v>
      </c>
    </row>
    <row r="1325" spans="2:7">
      <c r="B1325" s="17" t="str">
        <f t="shared" si="125"/>
        <v>11/2028</v>
      </c>
      <c r="C1325" s="18">
        <f t="shared" si="128"/>
        <v>47069</v>
      </c>
      <c r="D1325" s="18" t="str">
        <f t="shared" si="129"/>
        <v>12/11/2028 a 18/11/2028</v>
      </c>
      <c r="E1325" s="16">
        <f>E1320+24</f>
        <v>6342</v>
      </c>
      <c r="F1325" s="16">
        <f ca="1" t="shared" si="127"/>
        <v>0</v>
      </c>
      <c r="G1325" s="16">
        <f ca="1" t="shared" si="126"/>
        <v>0</v>
      </c>
    </row>
    <row r="1326" spans="2:7">
      <c r="B1326" s="17" t="str">
        <f t="shared" si="125"/>
        <v>11/2028</v>
      </c>
      <c r="C1326" s="18">
        <f t="shared" si="128"/>
        <v>47069</v>
      </c>
      <c r="D1326" s="18" t="str">
        <f t="shared" si="129"/>
        <v>12/11/2028 a 18/11/2028</v>
      </c>
      <c r="E1326" s="16">
        <f t="shared" ref="E1326:E1389" si="130">E1325+2</f>
        <v>6344</v>
      </c>
      <c r="F1326" s="16">
        <f ca="1" t="shared" si="127"/>
        <v>0</v>
      </c>
      <c r="G1326" s="16">
        <f ca="1" t="shared" si="126"/>
        <v>0</v>
      </c>
    </row>
    <row r="1327" spans="2:7">
      <c r="B1327" s="17" t="str">
        <f t="shared" si="125"/>
        <v>11/2028</v>
      </c>
      <c r="C1327" s="18">
        <f t="shared" si="128"/>
        <v>47069</v>
      </c>
      <c r="D1327" s="18" t="str">
        <f t="shared" si="129"/>
        <v>12/11/2028 a 18/11/2028</v>
      </c>
      <c r="E1327" s="16">
        <f t="shared" si="130"/>
        <v>6346</v>
      </c>
      <c r="F1327" s="16">
        <f ca="1" t="shared" si="127"/>
        <v>0</v>
      </c>
      <c r="G1327" s="16">
        <f ca="1" t="shared" si="126"/>
        <v>0</v>
      </c>
    </row>
    <row r="1328" spans="2:7">
      <c r="B1328" s="17" t="str">
        <f t="shared" si="125"/>
        <v>11/2028</v>
      </c>
      <c r="C1328" s="18">
        <f t="shared" si="128"/>
        <v>47069</v>
      </c>
      <c r="D1328" s="18" t="str">
        <f t="shared" si="129"/>
        <v>12/11/2028 a 18/11/2028</v>
      </c>
      <c r="E1328" s="16">
        <f t="shared" si="130"/>
        <v>6348</v>
      </c>
      <c r="F1328" s="16">
        <f ca="1" t="shared" si="127"/>
        <v>0</v>
      </c>
      <c r="G1328" s="16">
        <f ca="1" t="shared" si="126"/>
        <v>0</v>
      </c>
    </row>
    <row r="1329" spans="2:7">
      <c r="B1329" s="17" t="str">
        <f t="shared" si="125"/>
        <v>11/2028</v>
      </c>
      <c r="C1329" s="18">
        <f t="shared" si="128"/>
        <v>47069</v>
      </c>
      <c r="D1329" s="18" t="str">
        <f t="shared" si="129"/>
        <v>12/11/2028 a 18/11/2028</v>
      </c>
      <c r="E1329" s="16">
        <f t="shared" si="130"/>
        <v>6350</v>
      </c>
      <c r="F1329" s="16">
        <f ca="1" t="shared" si="127"/>
        <v>0</v>
      </c>
      <c r="G1329" s="16">
        <f ca="1" t="shared" si="126"/>
        <v>0</v>
      </c>
    </row>
    <row r="1330" spans="2:7">
      <c r="B1330" s="17" t="str">
        <f t="shared" si="125"/>
        <v>11/2028</v>
      </c>
      <c r="C1330" s="18">
        <f t="shared" si="128"/>
        <v>47076</v>
      </c>
      <c r="D1330" s="18" t="str">
        <f t="shared" si="129"/>
        <v>19/11/2028 a 25/11/2028</v>
      </c>
      <c r="E1330" s="16">
        <f>E1325+24</f>
        <v>6366</v>
      </c>
      <c r="F1330" s="16">
        <f ca="1" t="shared" si="127"/>
        <v>0</v>
      </c>
      <c r="G1330" s="16">
        <f ca="1" t="shared" si="126"/>
        <v>0</v>
      </c>
    </row>
    <row r="1331" spans="2:7">
      <c r="B1331" s="17" t="str">
        <f t="shared" si="125"/>
        <v>11/2028</v>
      </c>
      <c r="C1331" s="18">
        <f t="shared" si="128"/>
        <v>47076</v>
      </c>
      <c r="D1331" s="18" t="str">
        <f t="shared" si="129"/>
        <v>19/11/2028 a 25/11/2028</v>
      </c>
      <c r="E1331" s="16">
        <f t="shared" si="130"/>
        <v>6368</v>
      </c>
      <c r="F1331" s="16">
        <f ca="1" t="shared" si="127"/>
        <v>0</v>
      </c>
      <c r="G1331" s="16">
        <f ca="1" t="shared" si="126"/>
        <v>0</v>
      </c>
    </row>
    <row r="1332" spans="2:7">
      <c r="B1332" s="17" t="str">
        <f t="shared" si="125"/>
        <v>11/2028</v>
      </c>
      <c r="C1332" s="18">
        <f t="shared" si="128"/>
        <v>47076</v>
      </c>
      <c r="D1332" s="18" t="str">
        <f t="shared" si="129"/>
        <v>19/11/2028 a 25/11/2028</v>
      </c>
      <c r="E1332" s="16">
        <f t="shared" si="130"/>
        <v>6370</v>
      </c>
      <c r="F1332" s="16">
        <f ca="1" t="shared" si="127"/>
        <v>0</v>
      </c>
      <c r="G1332" s="16">
        <f ca="1" t="shared" si="126"/>
        <v>0</v>
      </c>
    </row>
    <row r="1333" spans="2:7">
      <c r="B1333" s="17" t="str">
        <f t="shared" si="125"/>
        <v>11/2028</v>
      </c>
      <c r="C1333" s="18">
        <f t="shared" si="128"/>
        <v>47076</v>
      </c>
      <c r="D1333" s="18" t="str">
        <f t="shared" si="129"/>
        <v>19/11/2028 a 25/11/2028</v>
      </c>
      <c r="E1333" s="16">
        <f t="shared" si="130"/>
        <v>6372</v>
      </c>
      <c r="F1333" s="16">
        <f ca="1" t="shared" si="127"/>
        <v>0</v>
      </c>
      <c r="G1333" s="16">
        <f ca="1" t="shared" si="126"/>
        <v>0</v>
      </c>
    </row>
    <row r="1334" spans="2:7">
      <c r="B1334" s="17" t="str">
        <f t="shared" si="125"/>
        <v>11/2028</v>
      </c>
      <c r="C1334" s="18">
        <f t="shared" si="128"/>
        <v>47076</v>
      </c>
      <c r="D1334" s="18" t="str">
        <f t="shared" si="129"/>
        <v>19/11/2028 a 25/11/2028</v>
      </c>
      <c r="E1334" s="16">
        <f t="shared" si="130"/>
        <v>6374</v>
      </c>
      <c r="F1334" s="16">
        <f ca="1" t="shared" si="127"/>
        <v>0</v>
      </c>
      <c r="G1334" s="16">
        <f ca="1" t="shared" si="126"/>
        <v>0</v>
      </c>
    </row>
    <row r="1335" spans="2:7">
      <c r="B1335" s="17" t="str">
        <f t="shared" si="125"/>
        <v>11/2028</v>
      </c>
      <c r="C1335" s="18">
        <f t="shared" si="128"/>
        <v>47083</v>
      </c>
      <c r="D1335" s="18" t="str">
        <f t="shared" si="129"/>
        <v>26/11/2028 a 02/12/2028</v>
      </c>
      <c r="E1335" s="16">
        <f>E1330+24</f>
        <v>6390</v>
      </c>
      <c r="F1335" s="16">
        <f ca="1" t="shared" si="127"/>
        <v>0</v>
      </c>
      <c r="G1335" s="16">
        <f ca="1" t="shared" si="126"/>
        <v>0</v>
      </c>
    </row>
    <row r="1336" spans="2:7">
      <c r="B1336" s="17" t="str">
        <f t="shared" si="125"/>
        <v>11/2028</v>
      </c>
      <c r="C1336" s="18">
        <f t="shared" si="128"/>
        <v>47083</v>
      </c>
      <c r="D1336" s="18" t="str">
        <f t="shared" si="129"/>
        <v>26/11/2028 a 02/12/2028</v>
      </c>
      <c r="E1336" s="16">
        <f t="shared" si="130"/>
        <v>6392</v>
      </c>
      <c r="F1336" s="16">
        <f ca="1" t="shared" si="127"/>
        <v>0</v>
      </c>
      <c r="G1336" s="16">
        <f ca="1" t="shared" si="126"/>
        <v>0</v>
      </c>
    </row>
    <row r="1337" spans="2:7">
      <c r="B1337" s="17" t="str">
        <f t="shared" ref="B1337:B1400" si="131">MONTH(C1337)&amp;"/"&amp;YEAR(C1337)</f>
        <v>11/2028</v>
      </c>
      <c r="C1337" s="18">
        <f t="shared" si="128"/>
        <v>47083</v>
      </c>
      <c r="D1337" s="18" t="str">
        <f t="shared" si="129"/>
        <v>26/11/2028 a 02/12/2028</v>
      </c>
      <c r="E1337" s="16">
        <f t="shared" si="130"/>
        <v>6394</v>
      </c>
      <c r="F1337" s="16">
        <f ca="1" t="shared" si="127"/>
        <v>0</v>
      </c>
      <c r="G1337" s="16">
        <f ca="1" t="shared" ref="G1337:G1400" si="132">INDIRECT("'Diário'!J"&amp;E1337)</f>
        <v>0</v>
      </c>
    </row>
    <row r="1338" spans="2:7">
      <c r="B1338" s="17" t="str">
        <f t="shared" si="131"/>
        <v>11/2028</v>
      </c>
      <c r="C1338" s="18">
        <f t="shared" si="128"/>
        <v>47083</v>
      </c>
      <c r="D1338" s="18" t="str">
        <f t="shared" si="129"/>
        <v>26/11/2028 a 02/12/2028</v>
      </c>
      <c r="E1338" s="16">
        <f t="shared" si="130"/>
        <v>6396</v>
      </c>
      <c r="F1338" s="16">
        <f ca="1" t="shared" si="127"/>
        <v>0</v>
      </c>
      <c r="G1338" s="16">
        <f ca="1" t="shared" si="132"/>
        <v>0</v>
      </c>
    </row>
    <row r="1339" spans="2:7">
      <c r="B1339" s="17" t="str">
        <f t="shared" si="131"/>
        <v>11/2028</v>
      </c>
      <c r="C1339" s="18">
        <f t="shared" si="128"/>
        <v>47083</v>
      </c>
      <c r="D1339" s="18" t="str">
        <f t="shared" si="129"/>
        <v>26/11/2028 a 02/12/2028</v>
      </c>
      <c r="E1339" s="16">
        <f t="shared" si="130"/>
        <v>6398</v>
      </c>
      <c r="F1339" s="16">
        <f ca="1" t="shared" si="127"/>
        <v>0</v>
      </c>
      <c r="G1339" s="16">
        <f ca="1" t="shared" si="132"/>
        <v>0</v>
      </c>
    </row>
    <row r="1340" spans="2:7">
      <c r="B1340" s="17" t="str">
        <f t="shared" si="131"/>
        <v>12/2028</v>
      </c>
      <c r="C1340" s="18">
        <f t="shared" si="128"/>
        <v>47090</v>
      </c>
      <c r="D1340" s="18" t="str">
        <f t="shared" si="129"/>
        <v>03/12/2028 a 09/12/2028</v>
      </c>
      <c r="E1340" s="16">
        <f>E1335+24</f>
        <v>6414</v>
      </c>
      <c r="F1340" s="16">
        <f ca="1" t="shared" si="127"/>
        <v>0</v>
      </c>
      <c r="G1340" s="16">
        <f ca="1" t="shared" si="132"/>
        <v>0</v>
      </c>
    </row>
    <row r="1341" spans="2:7">
      <c r="B1341" s="17" t="str">
        <f t="shared" si="131"/>
        <v>12/2028</v>
      </c>
      <c r="C1341" s="18">
        <f t="shared" si="128"/>
        <v>47090</v>
      </c>
      <c r="D1341" s="18" t="str">
        <f t="shared" si="129"/>
        <v>03/12/2028 a 09/12/2028</v>
      </c>
      <c r="E1341" s="16">
        <f t="shared" si="130"/>
        <v>6416</v>
      </c>
      <c r="F1341" s="16">
        <f ca="1" t="shared" si="127"/>
        <v>0</v>
      </c>
      <c r="G1341" s="16">
        <f ca="1" t="shared" si="132"/>
        <v>0</v>
      </c>
    </row>
    <row r="1342" spans="2:7">
      <c r="B1342" s="17" t="str">
        <f t="shared" si="131"/>
        <v>12/2028</v>
      </c>
      <c r="C1342" s="18">
        <f t="shared" si="128"/>
        <v>47090</v>
      </c>
      <c r="D1342" s="18" t="str">
        <f t="shared" si="129"/>
        <v>03/12/2028 a 09/12/2028</v>
      </c>
      <c r="E1342" s="16">
        <f t="shared" si="130"/>
        <v>6418</v>
      </c>
      <c r="F1342" s="16">
        <f ca="1" t="shared" ref="F1342:F1405" si="133">INDIRECT("Diário!I"&amp;E1342)</f>
        <v>0</v>
      </c>
      <c r="G1342" s="16">
        <f ca="1" t="shared" si="132"/>
        <v>0</v>
      </c>
    </row>
    <row r="1343" spans="2:7">
      <c r="B1343" s="17" t="str">
        <f t="shared" si="131"/>
        <v>12/2028</v>
      </c>
      <c r="C1343" s="18">
        <f t="shared" si="128"/>
        <v>47090</v>
      </c>
      <c r="D1343" s="18" t="str">
        <f t="shared" si="129"/>
        <v>03/12/2028 a 09/12/2028</v>
      </c>
      <c r="E1343" s="16">
        <f t="shared" si="130"/>
        <v>6420</v>
      </c>
      <c r="F1343" s="16">
        <f ca="1" t="shared" si="133"/>
        <v>0</v>
      </c>
      <c r="G1343" s="16">
        <f ca="1" t="shared" si="132"/>
        <v>0</v>
      </c>
    </row>
    <row r="1344" spans="2:7">
      <c r="B1344" s="17" t="str">
        <f t="shared" si="131"/>
        <v>12/2028</v>
      </c>
      <c r="C1344" s="18">
        <f t="shared" si="128"/>
        <v>47090</v>
      </c>
      <c r="D1344" s="18" t="str">
        <f t="shared" si="129"/>
        <v>03/12/2028 a 09/12/2028</v>
      </c>
      <c r="E1344" s="16">
        <f t="shared" si="130"/>
        <v>6422</v>
      </c>
      <c r="F1344" s="16">
        <f ca="1" t="shared" si="133"/>
        <v>0</v>
      </c>
      <c r="G1344" s="16">
        <f ca="1" t="shared" si="132"/>
        <v>0</v>
      </c>
    </row>
    <row r="1345" spans="2:7">
      <c r="B1345" s="17" t="str">
        <f t="shared" si="131"/>
        <v>12/2028</v>
      </c>
      <c r="C1345" s="18">
        <f t="shared" si="128"/>
        <v>47097</v>
      </c>
      <c r="D1345" s="18" t="str">
        <f t="shared" si="129"/>
        <v>10/12/2028 a 16/12/2028</v>
      </c>
      <c r="E1345" s="16">
        <f>E1340+24</f>
        <v>6438</v>
      </c>
      <c r="F1345" s="16">
        <f ca="1" t="shared" si="133"/>
        <v>0</v>
      </c>
      <c r="G1345" s="16">
        <f ca="1" t="shared" si="132"/>
        <v>0</v>
      </c>
    </row>
    <row r="1346" spans="2:7">
      <c r="B1346" s="17" t="str">
        <f t="shared" si="131"/>
        <v>12/2028</v>
      </c>
      <c r="C1346" s="18">
        <f t="shared" si="128"/>
        <v>47097</v>
      </c>
      <c r="D1346" s="18" t="str">
        <f t="shared" si="129"/>
        <v>10/12/2028 a 16/12/2028</v>
      </c>
      <c r="E1346" s="16">
        <f t="shared" si="130"/>
        <v>6440</v>
      </c>
      <c r="F1346" s="16">
        <f ca="1" t="shared" si="133"/>
        <v>0</v>
      </c>
      <c r="G1346" s="16">
        <f ca="1" t="shared" si="132"/>
        <v>0</v>
      </c>
    </row>
    <row r="1347" spans="2:7">
      <c r="B1347" s="17" t="str">
        <f t="shared" si="131"/>
        <v>12/2028</v>
      </c>
      <c r="C1347" s="18">
        <f t="shared" si="128"/>
        <v>47097</v>
      </c>
      <c r="D1347" s="18" t="str">
        <f t="shared" si="129"/>
        <v>10/12/2028 a 16/12/2028</v>
      </c>
      <c r="E1347" s="16">
        <f t="shared" si="130"/>
        <v>6442</v>
      </c>
      <c r="F1347" s="16">
        <f ca="1" t="shared" si="133"/>
        <v>0</v>
      </c>
      <c r="G1347" s="16">
        <f ca="1" t="shared" si="132"/>
        <v>0</v>
      </c>
    </row>
    <row r="1348" spans="2:7">
      <c r="B1348" s="17" t="str">
        <f t="shared" si="131"/>
        <v>12/2028</v>
      </c>
      <c r="C1348" s="18">
        <f t="shared" si="128"/>
        <v>47097</v>
      </c>
      <c r="D1348" s="18" t="str">
        <f t="shared" si="129"/>
        <v>10/12/2028 a 16/12/2028</v>
      </c>
      <c r="E1348" s="16">
        <f t="shared" si="130"/>
        <v>6444</v>
      </c>
      <c r="F1348" s="16">
        <f ca="1" t="shared" si="133"/>
        <v>0</v>
      </c>
      <c r="G1348" s="16">
        <f ca="1" t="shared" si="132"/>
        <v>0</v>
      </c>
    </row>
    <row r="1349" spans="2:7">
      <c r="B1349" s="17" t="str">
        <f t="shared" si="131"/>
        <v>12/2028</v>
      </c>
      <c r="C1349" s="18">
        <f t="shared" si="128"/>
        <v>47097</v>
      </c>
      <c r="D1349" s="18" t="str">
        <f t="shared" si="129"/>
        <v>10/12/2028 a 16/12/2028</v>
      </c>
      <c r="E1349" s="16">
        <f t="shared" si="130"/>
        <v>6446</v>
      </c>
      <c r="F1349" s="16">
        <f ca="1" t="shared" si="133"/>
        <v>0</v>
      </c>
      <c r="G1349" s="16">
        <f ca="1" t="shared" si="132"/>
        <v>0</v>
      </c>
    </row>
    <row r="1350" spans="2:7">
      <c r="B1350" s="17" t="str">
        <f t="shared" si="131"/>
        <v>12/2028</v>
      </c>
      <c r="C1350" s="18">
        <f t="shared" si="128"/>
        <v>47104</v>
      </c>
      <c r="D1350" s="18" t="str">
        <f t="shared" si="129"/>
        <v>17/12/2028 a 23/12/2028</v>
      </c>
      <c r="E1350" s="16">
        <f>E1345+24</f>
        <v>6462</v>
      </c>
      <c r="F1350" s="16">
        <f ca="1" t="shared" si="133"/>
        <v>0</v>
      </c>
      <c r="G1350" s="16">
        <f ca="1" t="shared" si="132"/>
        <v>0</v>
      </c>
    </row>
    <row r="1351" spans="2:7">
      <c r="B1351" s="17" t="str">
        <f t="shared" si="131"/>
        <v>12/2028</v>
      </c>
      <c r="C1351" s="18">
        <f t="shared" si="128"/>
        <v>47104</v>
      </c>
      <c r="D1351" s="18" t="str">
        <f t="shared" si="129"/>
        <v>17/12/2028 a 23/12/2028</v>
      </c>
      <c r="E1351" s="16">
        <f t="shared" si="130"/>
        <v>6464</v>
      </c>
      <c r="F1351" s="16">
        <f ca="1" t="shared" si="133"/>
        <v>0</v>
      </c>
      <c r="G1351" s="16">
        <f ca="1" t="shared" si="132"/>
        <v>0</v>
      </c>
    </row>
    <row r="1352" spans="2:7">
      <c r="B1352" s="17" t="str">
        <f t="shared" si="131"/>
        <v>12/2028</v>
      </c>
      <c r="C1352" s="18">
        <f t="shared" si="128"/>
        <v>47104</v>
      </c>
      <c r="D1352" s="18" t="str">
        <f t="shared" si="129"/>
        <v>17/12/2028 a 23/12/2028</v>
      </c>
      <c r="E1352" s="16">
        <f t="shared" si="130"/>
        <v>6466</v>
      </c>
      <c r="F1352" s="16">
        <f ca="1" t="shared" si="133"/>
        <v>0</v>
      </c>
      <c r="G1352" s="16">
        <f ca="1" t="shared" si="132"/>
        <v>0</v>
      </c>
    </row>
    <row r="1353" spans="2:7">
      <c r="B1353" s="17" t="str">
        <f t="shared" si="131"/>
        <v>12/2028</v>
      </c>
      <c r="C1353" s="18">
        <f t="shared" si="128"/>
        <v>47104</v>
      </c>
      <c r="D1353" s="18" t="str">
        <f t="shared" si="129"/>
        <v>17/12/2028 a 23/12/2028</v>
      </c>
      <c r="E1353" s="16">
        <f t="shared" si="130"/>
        <v>6468</v>
      </c>
      <c r="F1353" s="16">
        <f ca="1" t="shared" si="133"/>
        <v>0</v>
      </c>
      <c r="G1353" s="16">
        <f ca="1" t="shared" si="132"/>
        <v>0</v>
      </c>
    </row>
    <row r="1354" spans="2:7">
      <c r="B1354" s="17" t="str">
        <f t="shared" si="131"/>
        <v>12/2028</v>
      </c>
      <c r="C1354" s="18">
        <f t="shared" si="128"/>
        <v>47104</v>
      </c>
      <c r="D1354" s="18" t="str">
        <f t="shared" si="129"/>
        <v>17/12/2028 a 23/12/2028</v>
      </c>
      <c r="E1354" s="16">
        <f t="shared" si="130"/>
        <v>6470</v>
      </c>
      <c r="F1354" s="16">
        <f ca="1" t="shared" si="133"/>
        <v>0</v>
      </c>
      <c r="G1354" s="16">
        <f ca="1" t="shared" si="132"/>
        <v>0</v>
      </c>
    </row>
    <row r="1355" spans="2:7">
      <c r="B1355" s="17" t="str">
        <f t="shared" si="131"/>
        <v>12/2028</v>
      </c>
      <c r="C1355" s="18">
        <f t="shared" si="128"/>
        <v>47111</v>
      </c>
      <c r="D1355" s="18" t="str">
        <f t="shared" si="129"/>
        <v>24/12/2028 a 30/12/2028</v>
      </c>
      <c r="E1355" s="16">
        <f>E1350+24</f>
        <v>6486</v>
      </c>
      <c r="F1355" s="16">
        <f ca="1" t="shared" si="133"/>
        <v>0</v>
      </c>
      <c r="G1355" s="16">
        <f ca="1" t="shared" si="132"/>
        <v>0</v>
      </c>
    </row>
    <row r="1356" spans="2:7">
      <c r="B1356" s="17" t="str">
        <f t="shared" si="131"/>
        <v>12/2028</v>
      </c>
      <c r="C1356" s="18">
        <f t="shared" si="128"/>
        <v>47111</v>
      </c>
      <c r="D1356" s="18" t="str">
        <f t="shared" si="129"/>
        <v>24/12/2028 a 30/12/2028</v>
      </c>
      <c r="E1356" s="16">
        <f t="shared" si="130"/>
        <v>6488</v>
      </c>
      <c r="F1356" s="16">
        <f ca="1" t="shared" si="133"/>
        <v>0</v>
      </c>
      <c r="G1356" s="16">
        <f ca="1" t="shared" si="132"/>
        <v>0</v>
      </c>
    </row>
    <row r="1357" spans="2:7">
      <c r="B1357" s="17" t="str">
        <f t="shared" si="131"/>
        <v>12/2028</v>
      </c>
      <c r="C1357" s="18">
        <f t="shared" si="128"/>
        <v>47111</v>
      </c>
      <c r="D1357" s="18" t="str">
        <f t="shared" si="129"/>
        <v>24/12/2028 a 30/12/2028</v>
      </c>
      <c r="E1357" s="16">
        <f t="shared" si="130"/>
        <v>6490</v>
      </c>
      <c r="F1357" s="16">
        <f ca="1" t="shared" si="133"/>
        <v>0</v>
      </c>
      <c r="G1357" s="16">
        <f ca="1" t="shared" si="132"/>
        <v>0</v>
      </c>
    </row>
    <row r="1358" spans="2:7">
      <c r="B1358" s="17" t="str">
        <f t="shared" si="131"/>
        <v>12/2028</v>
      </c>
      <c r="C1358" s="18">
        <f t="shared" si="128"/>
        <v>47111</v>
      </c>
      <c r="D1358" s="18" t="str">
        <f t="shared" si="129"/>
        <v>24/12/2028 a 30/12/2028</v>
      </c>
      <c r="E1358" s="16">
        <f t="shared" si="130"/>
        <v>6492</v>
      </c>
      <c r="F1358" s="16">
        <f ca="1" t="shared" si="133"/>
        <v>0</v>
      </c>
      <c r="G1358" s="16">
        <f ca="1" t="shared" si="132"/>
        <v>0</v>
      </c>
    </row>
    <row r="1359" spans="2:7">
      <c r="B1359" s="17" t="str">
        <f t="shared" si="131"/>
        <v>12/2028</v>
      </c>
      <c r="C1359" s="18">
        <f t="shared" si="128"/>
        <v>47111</v>
      </c>
      <c r="D1359" s="18" t="str">
        <f t="shared" si="129"/>
        <v>24/12/2028 a 30/12/2028</v>
      </c>
      <c r="E1359" s="16">
        <f t="shared" si="130"/>
        <v>6494</v>
      </c>
      <c r="F1359" s="16">
        <f ca="1" t="shared" si="133"/>
        <v>0</v>
      </c>
      <c r="G1359" s="16">
        <f ca="1" t="shared" si="132"/>
        <v>0</v>
      </c>
    </row>
    <row r="1360" spans="2:7">
      <c r="B1360" s="17" t="str">
        <f t="shared" si="131"/>
        <v>12/2028</v>
      </c>
      <c r="C1360" s="18">
        <f t="shared" si="128"/>
        <v>47118</v>
      </c>
      <c r="D1360" s="18" t="str">
        <f t="shared" si="129"/>
        <v>31/12/2028 a 06/01/2029</v>
      </c>
      <c r="E1360" s="16">
        <f>E1355+24</f>
        <v>6510</v>
      </c>
      <c r="F1360" s="16">
        <f ca="1" t="shared" si="133"/>
        <v>0</v>
      </c>
      <c r="G1360" s="16">
        <f ca="1" t="shared" si="132"/>
        <v>0</v>
      </c>
    </row>
    <row r="1361" spans="2:7">
      <c r="B1361" s="17" t="str">
        <f t="shared" si="131"/>
        <v>12/2028</v>
      </c>
      <c r="C1361" s="18">
        <f t="shared" si="128"/>
        <v>47118</v>
      </c>
      <c r="D1361" s="18" t="str">
        <f t="shared" si="129"/>
        <v>31/12/2028 a 06/01/2029</v>
      </c>
      <c r="E1361" s="16">
        <f t="shared" si="130"/>
        <v>6512</v>
      </c>
      <c r="F1361" s="16">
        <f ca="1" t="shared" si="133"/>
        <v>0</v>
      </c>
      <c r="G1361" s="16">
        <f ca="1" t="shared" si="132"/>
        <v>0</v>
      </c>
    </row>
    <row r="1362" spans="2:7">
      <c r="B1362" s="17" t="str">
        <f t="shared" si="131"/>
        <v>12/2028</v>
      </c>
      <c r="C1362" s="18">
        <f t="shared" ref="C1362:C1425" si="134">C1357+7</f>
        <v>47118</v>
      </c>
      <c r="D1362" s="18" t="str">
        <f t="shared" si="129"/>
        <v>31/12/2028 a 06/01/2029</v>
      </c>
      <c r="E1362" s="16">
        <f t="shared" si="130"/>
        <v>6514</v>
      </c>
      <c r="F1362" s="16">
        <f ca="1" t="shared" si="133"/>
        <v>0</v>
      </c>
      <c r="G1362" s="16">
        <f ca="1" t="shared" si="132"/>
        <v>0</v>
      </c>
    </row>
    <row r="1363" spans="2:7">
      <c r="B1363" s="17" t="str">
        <f t="shared" si="131"/>
        <v>12/2028</v>
      </c>
      <c r="C1363" s="18">
        <f t="shared" si="134"/>
        <v>47118</v>
      </c>
      <c r="D1363" s="18" t="str">
        <f t="shared" ref="D1363:D1426" si="135">TEXT((C1363),"DD/MM/AAAA")&amp;" a "&amp;TEXT((C1363+6),"DD/MM/AAAA")</f>
        <v>31/12/2028 a 06/01/2029</v>
      </c>
      <c r="E1363" s="16">
        <f t="shared" si="130"/>
        <v>6516</v>
      </c>
      <c r="F1363" s="16">
        <f ca="1" t="shared" si="133"/>
        <v>0</v>
      </c>
      <c r="G1363" s="16">
        <f ca="1" t="shared" si="132"/>
        <v>0</v>
      </c>
    </row>
    <row r="1364" spans="2:7">
      <c r="B1364" s="17" t="str">
        <f t="shared" si="131"/>
        <v>12/2028</v>
      </c>
      <c r="C1364" s="18">
        <f t="shared" si="134"/>
        <v>47118</v>
      </c>
      <c r="D1364" s="18" t="str">
        <f t="shared" si="135"/>
        <v>31/12/2028 a 06/01/2029</v>
      </c>
      <c r="E1364" s="16">
        <f t="shared" si="130"/>
        <v>6518</v>
      </c>
      <c r="F1364" s="16">
        <f ca="1" t="shared" si="133"/>
        <v>0</v>
      </c>
      <c r="G1364" s="16">
        <f ca="1" t="shared" si="132"/>
        <v>0</v>
      </c>
    </row>
    <row r="1365" spans="2:7">
      <c r="B1365" s="17" t="str">
        <f t="shared" si="131"/>
        <v>1/2029</v>
      </c>
      <c r="C1365" s="18">
        <f t="shared" si="134"/>
        <v>47125</v>
      </c>
      <c r="D1365" s="18" t="str">
        <f t="shared" si="135"/>
        <v>07/01/2029 a 13/01/2029</v>
      </c>
      <c r="E1365" s="16">
        <f>E1360+24</f>
        <v>6534</v>
      </c>
      <c r="F1365" s="16">
        <f ca="1" t="shared" si="133"/>
        <v>0</v>
      </c>
      <c r="G1365" s="16">
        <f ca="1" t="shared" si="132"/>
        <v>0</v>
      </c>
    </row>
    <row r="1366" spans="2:7">
      <c r="B1366" s="17" t="str">
        <f t="shared" si="131"/>
        <v>1/2029</v>
      </c>
      <c r="C1366" s="18">
        <f t="shared" si="134"/>
        <v>47125</v>
      </c>
      <c r="D1366" s="18" t="str">
        <f t="shared" si="135"/>
        <v>07/01/2029 a 13/01/2029</v>
      </c>
      <c r="E1366" s="16">
        <f t="shared" si="130"/>
        <v>6536</v>
      </c>
      <c r="F1366" s="16">
        <f ca="1" t="shared" si="133"/>
        <v>0</v>
      </c>
      <c r="G1366" s="16">
        <f ca="1" t="shared" si="132"/>
        <v>0</v>
      </c>
    </row>
    <row r="1367" spans="2:7">
      <c r="B1367" s="17" t="str">
        <f t="shared" si="131"/>
        <v>1/2029</v>
      </c>
      <c r="C1367" s="18">
        <f t="shared" si="134"/>
        <v>47125</v>
      </c>
      <c r="D1367" s="18" t="str">
        <f t="shared" si="135"/>
        <v>07/01/2029 a 13/01/2029</v>
      </c>
      <c r="E1367" s="16">
        <f t="shared" si="130"/>
        <v>6538</v>
      </c>
      <c r="F1367" s="16">
        <f ca="1" t="shared" si="133"/>
        <v>0</v>
      </c>
      <c r="G1367" s="16">
        <f ca="1" t="shared" si="132"/>
        <v>0</v>
      </c>
    </row>
    <row r="1368" spans="2:7">
      <c r="B1368" s="17" t="str">
        <f t="shared" si="131"/>
        <v>1/2029</v>
      </c>
      <c r="C1368" s="18">
        <f t="shared" si="134"/>
        <v>47125</v>
      </c>
      <c r="D1368" s="18" t="str">
        <f t="shared" si="135"/>
        <v>07/01/2029 a 13/01/2029</v>
      </c>
      <c r="E1368" s="16">
        <f t="shared" si="130"/>
        <v>6540</v>
      </c>
      <c r="F1368" s="16">
        <f ca="1" t="shared" si="133"/>
        <v>0</v>
      </c>
      <c r="G1368" s="16">
        <f ca="1" t="shared" si="132"/>
        <v>0</v>
      </c>
    </row>
    <row r="1369" spans="2:7">
      <c r="B1369" s="17" t="str">
        <f t="shared" si="131"/>
        <v>1/2029</v>
      </c>
      <c r="C1369" s="18">
        <f t="shared" si="134"/>
        <v>47125</v>
      </c>
      <c r="D1369" s="18" t="str">
        <f t="shared" si="135"/>
        <v>07/01/2029 a 13/01/2029</v>
      </c>
      <c r="E1369" s="16">
        <f t="shared" si="130"/>
        <v>6542</v>
      </c>
      <c r="F1369" s="16">
        <f ca="1" t="shared" si="133"/>
        <v>0</v>
      </c>
      <c r="G1369" s="16">
        <f ca="1" t="shared" si="132"/>
        <v>0</v>
      </c>
    </row>
    <row r="1370" spans="2:7">
      <c r="B1370" s="17" t="str">
        <f t="shared" si="131"/>
        <v>1/2029</v>
      </c>
      <c r="C1370" s="18">
        <f t="shared" si="134"/>
        <v>47132</v>
      </c>
      <c r="D1370" s="18" t="str">
        <f t="shared" si="135"/>
        <v>14/01/2029 a 20/01/2029</v>
      </c>
      <c r="E1370" s="16">
        <f>E1365+24</f>
        <v>6558</v>
      </c>
      <c r="F1370" s="16">
        <f ca="1" t="shared" si="133"/>
        <v>0</v>
      </c>
      <c r="G1370" s="16">
        <f ca="1" t="shared" si="132"/>
        <v>0</v>
      </c>
    </row>
    <row r="1371" spans="2:7">
      <c r="B1371" s="17" t="str">
        <f t="shared" si="131"/>
        <v>1/2029</v>
      </c>
      <c r="C1371" s="18">
        <f t="shared" si="134"/>
        <v>47132</v>
      </c>
      <c r="D1371" s="18" t="str">
        <f t="shared" si="135"/>
        <v>14/01/2029 a 20/01/2029</v>
      </c>
      <c r="E1371" s="16">
        <f t="shared" si="130"/>
        <v>6560</v>
      </c>
      <c r="F1371" s="16">
        <f ca="1" t="shared" si="133"/>
        <v>0</v>
      </c>
      <c r="G1371" s="16">
        <f ca="1" t="shared" si="132"/>
        <v>0</v>
      </c>
    </row>
    <row r="1372" spans="2:7">
      <c r="B1372" s="17" t="str">
        <f t="shared" si="131"/>
        <v>1/2029</v>
      </c>
      <c r="C1372" s="18">
        <f t="shared" si="134"/>
        <v>47132</v>
      </c>
      <c r="D1372" s="18" t="str">
        <f t="shared" si="135"/>
        <v>14/01/2029 a 20/01/2029</v>
      </c>
      <c r="E1372" s="16">
        <f t="shared" si="130"/>
        <v>6562</v>
      </c>
      <c r="F1372" s="16">
        <f ca="1" t="shared" si="133"/>
        <v>0</v>
      </c>
      <c r="G1372" s="16">
        <f ca="1" t="shared" si="132"/>
        <v>0</v>
      </c>
    </row>
    <row r="1373" spans="2:7">
      <c r="B1373" s="17" t="str">
        <f t="shared" si="131"/>
        <v>1/2029</v>
      </c>
      <c r="C1373" s="18">
        <f t="shared" si="134"/>
        <v>47132</v>
      </c>
      <c r="D1373" s="18" t="str">
        <f t="shared" si="135"/>
        <v>14/01/2029 a 20/01/2029</v>
      </c>
      <c r="E1373" s="16">
        <f t="shared" si="130"/>
        <v>6564</v>
      </c>
      <c r="F1373" s="16">
        <f ca="1" t="shared" si="133"/>
        <v>0</v>
      </c>
      <c r="G1373" s="16">
        <f ca="1" t="shared" si="132"/>
        <v>0</v>
      </c>
    </row>
    <row r="1374" spans="2:7">
      <c r="B1374" s="17" t="str">
        <f t="shared" si="131"/>
        <v>1/2029</v>
      </c>
      <c r="C1374" s="18">
        <f t="shared" si="134"/>
        <v>47132</v>
      </c>
      <c r="D1374" s="18" t="str">
        <f t="shared" si="135"/>
        <v>14/01/2029 a 20/01/2029</v>
      </c>
      <c r="E1374" s="16">
        <f t="shared" si="130"/>
        <v>6566</v>
      </c>
      <c r="F1374" s="16">
        <f ca="1" t="shared" si="133"/>
        <v>0</v>
      </c>
      <c r="G1374" s="16">
        <f ca="1" t="shared" si="132"/>
        <v>0</v>
      </c>
    </row>
    <row r="1375" spans="2:7">
      <c r="B1375" s="17" t="str">
        <f t="shared" si="131"/>
        <v>1/2029</v>
      </c>
      <c r="C1375" s="18">
        <f t="shared" si="134"/>
        <v>47139</v>
      </c>
      <c r="D1375" s="18" t="str">
        <f t="shared" si="135"/>
        <v>21/01/2029 a 27/01/2029</v>
      </c>
      <c r="E1375" s="16">
        <f>E1370+24</f>
        <v>6582</v>
      </c>
      <c r="F1375" s="16">
        <f ca="1" t="shared" si="133"/>
        <v>0</v>
      </c>
      <c r="G1375" s="16">
        <f ca="1" t="shared" si="132"/>
        <v>0</v>
      </c>
    </row>
    <row r="1376" spans="2:7">
      <c r="B1376" s="17" t="str">
        <f t="shared" si="131"/>
        <v>1/2029</v>
      </c>
      <c r="C1376" s="18">
        <f t="shared" si="134"/>
        <v>47139</v>
      </c>
      <c r="D1376" s="18" t="str">
        <f t="shared" si="135"/>
        <v>21/01/2029 a 27/01/2029</v>
      </c>
      <c r="E1376" s="16">
        <f t="shared" si="130"/>
        <v>6584</v>
      </c>
      <c r="F1376" s="16">
        <f ca="1" t="shared" si="133"/>
        <v>0</v>
      </c>
      <c r="G1376" s="16">
        <f ca="1" t="shared" si="132"/>
        <v>0</v>
      </c>
    </row>
    <row r="1377" spans="2:7">
      <c r="B1377" s="17" t="str">
        <f t="shared" si="131"/>
        <v>1/2029</v>
      </c>
      <c r="C1377" s="18">
        <f t="shared" si="134"/>
        <v>47139</v>
      </c>
      <c r="D1377" s="18" t="str">
        <f t="shared" si="135"/>
        <v>21/01/2029 a 27/01/2029</v>
      </c>
      <c r="E1377" s="16">
        <f t="shared" si="130"/>
        <v>6586</v>
      </c>
      <c r="F1377" s="16">
        <f ca="1" t="shared" si="133"/>
        <v>0</v>
      </c>
      <c r="G1377" s="16">
        <f ca="1" t="shared" si="132"/>
        <v>0</v>
      </c>
    </row>
    <row r="1378" spans="2:7">
      <c r="B1378" s="17" t="str">
        <f t="shared" si="131"/>
        <v>1/2029</v>
      </c>
      <c r="C1378" s="18">
        <f t="shared" si="134"/>
        <v>47139</v>
      </c>
      <c r="D1378" s="18" t="str">
        <f t="shared" si="135"/>
        <v>21/01/2029 a 27/01/2029</v>
      </c>
      <c r="E1378" s="16">
        <f t="shared" si="130"/>
        <v>6588</v>
      </c>
      <c r="F1378" s="16">
        <f ca="1" t="shared" si="133"/>
        <v>0</v>
      </c>
      <c r="G1378" s="16">
        <f ca="1" t="shared" si="132"/>
        <v>0</v>
      </c>
    </row>
    <row r="1379" spans="2:7">
      <c r="B1379" s="17" t="str">
        <f t="shared" si="131"/>
        <v>1/2029</v>
      </c>
      <c r="C1379" s="18">
        <f t="shared" si="134"/>
        <v>47139</v>
      </c>
      <c r="D1379" s="18" t="str">
        <f t="shared" si="135"/>
        <v>21/01/2029 a 27/01/2029</v>
      </c>
      <c r="E1379" s="16">
        <f t="shared" si="130"/>
        <v>6590</v>
      </c>
      <c r="F1379" s="16">
        <f ca="1" t="shared" si="133"/>
        <v>0</v>
      </c>
      <c r="G1379" s="16">
        <f ca="1" t="shared" si="132"/>
        <v>0</v>
      </c>
    </row>
    <row r="1380" spans="2:7">
      <c r="B1380" s="17" t="str">
        <f t="shared" si="131"/>
        <v>1/2029</v>
      </c>
      <c r="C1380" s="18">
        <f t="shared" si="134"/>
        <v>47146</v>
      </c>
      <c r="D1380" s="18" t="str">
        <f t="shared" si="135"/>
        <v>28/01/2029 a 03/02/2029</v>
      </c>
      <c r="E1380" s="16">
        <f>E1375+24</f>
        <v>6606</v>
      </c>
      <c r="F1380" s="16">
        <f ca="1" t="shared" si="133"/>
        <v>0</v>
      </c>
      <c r="G1380" s="16">
        <f ca="1" t="shared" si="132"/>
        <v>0</v>
      </c>
    </row>
    <row r="1381" spans="2:7">
      <c r="B1381" s="17" t="str">
        <f t="shared" si="131"/>
        <v>1/2029</v>
      </c>
      <c r="C1381" s="18">
        <f t="shared" si="134"/>
        <v>47146</v>
      </c>
      <c r="D1381" s="18" t="str">
        <f t="shared" si="135"/>
        <v>28/01/2029 a 03/02/2029</v>
      </c>
      <c r="E1381" s="16">
        <f t="shared" si="130"/>
        <v>6608</v>
      </c>
      <c r="F1381" s="16">
        <f ca="1" t="shared" si="133"/>
        <v>0</v>
      </c>
      <c r="G1381" s="16">
        <f ca="1" t="shared" si="132"/>
        <v>0</v>
      </c>
    </row>
    <row r="1382" spans="2:7">
      <c r="B1382" s="17" t="str">
        <f t="shared" si="131"/>
        <v>1/2029</v>
      </c>
      <c r="C1382" s="18">
        <f t="shared" si="134"/>
        <v>47146</v>
      </c>
      <c r="D1382" s="18" t="str">
        <f t="shared" si="135"/>
        <v>28/01/2029 a 03/02/2029</v>
      </c>
      <c r="E1382" s="16">
        <f t="shared" si="130"/>
        <v>6610</v>
      </c>
      <c r="F1382" s="16">
        <f ca="1" t="shared" si="133"/>
        <v>0</v>
      </c>
      <c r="G1382" s="16">
        <f ca="1" t="shared" si="132"/>
        <v>0</v>
      </c>
    </row>
    <row r="1383" spans="2:7">
      <c r="B1383" s="17" t="str">
        <f t="shared" si="131"/>
        <v>1/2029</v>
      </c>
      <c r="C1383" s="18">
        <f t="shared" si="134"/>
        <v>47146</v>
      </c>
      <c r="D1383" s="18" t="str">
        <f t="shared" si="135"/>
        <v>28/01/2029 a 03/02/2029</v>
      </c>
      <c r="E1383" s="16">
        <f t="shared" si="130"/>
        <v>6612</v>
      </c>
      <c r="F1383" s="16">
        <f ca="1" t="shared" si="133"/>
        <v>0</v>
      </c>
      <c r="G1383" s="16">
        <f ca="1" t="shared" si="132"/>
        <v>0</v>
      </c>
    </row>
    <row r="1384" spans="2:7">
      <c r="B1384" s="17" t="str">
        <f t="shared" si="131"/>
        <v>1/2029</v>
      </c>
      <c r="C1384" s="18">
        <f t="shared" si="134"/>
        <v>47146</v>
      </c>
      <c r="D1384" s="18" t="str">
        <f t="shared" si="135"/>
        <v>28/01/2029 a 03/02/2029</v>
      </c>
      <c r="E1384" s="16">
        <f t="shared" si="130"/>
        <v>6614</v>
      </c>
      <c r="F1384" s="16">
        <f ca="1" t="shared" si="133"/>
        <v>0</v>
      </c>
      <c r="G1384" s="16">
        <f ca="1" t="shared" si="132"/>
        <v>0</v>
      </c>
    </row>
    <row r="1385" spans="2:7">
      <c r="B1385" s="17" t="str">
        <f t="shared" si="131"/>
        <v>2/2029</v>
      </c>
      <c r="C1385" s="18">
        <f t="shared" si="134"/>
        <v>47153</v>
      </c>
      <c r="D1385" s="18" t="str">
        <f t="shared" si="135"/>
        <v>04/02/2029 a 10/02/2029</v>
      </c>
      <c r="E1385" s="16">
        <f>E1380+24</f>
        <v>6630</v>
      </c>
      <c r="F1385" s="16">
        <f ca="1" t="shared" si="133"/>
        <v>0</v>
      </c>
      <c r="G1385" s="16">
        <f ca="1" t="shared" si="132"/>
        <v>0</v>
      </c>
    </row>
    <row r="1386" spans="2:7">
      <c r="B1386" s="17" t="str">
        <f t="shared" si="131"/>
        <v>2/2029</v>
      </c>
      <c r="C1386" s="18">
        <f t="shared" si="134"/>
        <v>47153</v>
      </c>
      <c r="D1386" s="18" t="str">
        <f t="shared" si="135"/>
        <v>04/02/2029 a 10/02/2029</v>
      </c>
      <c r="E1386" s="16">
        <f t="shared" si="130"/>
        <v>6632</v>
      </c>
      <c r="F1386" s="16">
        <f ca="1" t="shared" si="133"/>
        <v>0</v>
      </c>
      <c r="G1386" s="16">
        <f ca="1" t="shared" si="132"/>
        <v>0</v>
      </c>
    </row>
    <row r="1387" spans="2:7">
      <c r="B1387" s="17" t="str">
        <f t="shared" si="131"/>
        <v>2/2029</v>
      </c>
      <c r="C1387" s="18">
        <f t="shared" si="134"/>
        <v>47153</v>
      </c>
      <c r="D1387" s="18" t="str">
        <f t="shared" si="135"/>
        <v>04/02/2029 a 10/02/2029</v>
      </c>
      <c r="E1387" s="16">
        <f t="shared" si="130"/>
        <v>6634</v>
      </c>
      <c r="F1387" s="16">
        <f ca="1" t="shared" si="133"/>
        <v>0</v>
      </c>
      <c r="G1387" s="16">
        <f ca="1" t="shared" si="132"/>
        <v>0</v>
      </c>
    </row>
    <row r="1388" spans="2:7">
      <c r="B1388" s="17" t="str">
        <f t="shared" si="131"/>
        <v>2/2029</v>
      </c>
      <c r="C1388" s="18">
        <f t="shared" si="134"/>
        <v>47153</v>
      </c>
      <c r="D1388" s="18" t="str">
        <f t="shared" si="135"/>
        <v>04/02/2029 a 10/02/2029</v>
      </c>
      <c r="E1388" s="16">
        <f t="shared" si="130"/>
        <v>6636</v>
      </c>
      <c r="F1388" s="16">
        <f ca="1" t="shared" si="133"/>
        <v>0</v>
      </c>
      <c r="G1388" s="16">
        <f ca="1" t="shared" si="132"/>
        <v>0</v>
      </c>
    </row>
    <row r="1389" spans="2:7">
      <c r="B1389" s="17" t="str">
        <f t="shared" si="131"/>
        <v>2/2029</v>
      </c>
      <c r="C1389" s="18">
        <f t="shared" si="134"/>
        <v>47153</v>
      </c>
      <c r="D1389" s="18" t="str">
        <f t="shared" si="135"/>
        <v>04/02/2029 a 10/02/2029</v>
      </c>
      <c r="E1389" s="16">
        <f t="shared" si="130"/>
        <v>6638</v>
      </c>
      <c r="F1389" s="16">
        <f ca="1" t="shared" si="133"/>
        <v>0</v>
      </c>
      <c r="G1389" s="16">
        <f ca="1" t="shared" si="132"/>
        <v>0</v>
      </c>
    </row>
    <row r="1390" spans="2:7">
      <c r="B1390" s="17" t="str">
        <f t="shared" si="131"/>
        <v>2/2029</v>
      </c>
      <c r="C1390" s="18">
        <f t="shared" si="134"/>
        <v>47160</v>
      </c>
      <c r="D1390" s="18" t="str">
        <f t="shared" si="135"/>
        <v>11/02/2029 a 17/02/2029</v>
      </c>
      <c r="E1390" s="16">
        <f>E1385+24</f>
        <v>6654</v>
      </c>
      <c r="F1390" s="16">
        <f ca="1" t="shared" si="133"/>
        <v>0</v>
      </c>
      <c r="G1390" s="16">
        <f ca="1" t="shared" si="132"/>
        <v>0</v>
      </c>
    </row>
    <row r="1391" spans="2:7">
      <c r="B1391" s="17" t="str">
        <f t="shared" si="131"/>
        <v>2/2029</v>
      </c>
      <c r="C1391" s="18">
        <f t="shared" si="134"/>
        <v>47160</v>
      </c>
      <c r="D1391" s="18" t="str">
        <f t="shared" si="135"/>
        <v>11/02/2029 a 17/02/2029</v>
      </c>
      <c r="E1391" s="16">
        <f t="shared" ref="E1391:E1454" si="136">E1390+2</f>
        <v>6656</v>
      </c>
      <c r="F1391" s="16">
        <f ca="1" t="shared" si="133"/>
        <v>0</v>
      </c>
      <c r="G1391" s="16">
        <f ca="1" t="shared" si="132"/>
        <v>0</v>
      </c>
    </row>
    <row r="1392" spans="2:7">
      <c r="B1392" s="17" t="str">
        <f t="shared" si="131"/>
        <v>2/2029</v>
      </c>
      <c r="C1392" s="18">
        <f t="shared" si="134"/>
        <v>47160</v>
      </c>
      <c r="D1392" s="18" t="str">
        <f t="shared" si="135"/>
        <v>11/02/2029 a 17/02/2029</v>
      </c>
      <c r="E1392" s="16">
        <f t="shared" si="136"/>
        <v>6658</v>
      </c>
      <c r="F1392" s="16">
        <f ca="1" t="shared" si="133"/>
        <v>0</v>
      </c>
      <c r="G1392" s="16">
        <f ca="1" t="shared" si="132"/>
        <v>0</v>
      </c>
    </row>
    <row r="1393" spans="2:7">
      <c r="B1393" s="17" t="str">
        <f t="shared" si="131"/>
        <v>2/2029</v>
      </c>
      <c r="C1393" s="18">
        <f t="shared" si="134"/>
        <v>47160</v>
      </c>
      <c r="D1393" s="18" t="str">
        <f t="shared" si="135"/>
        <v>11/02/2029 a 17/02/2029</v>
      </c>
      <c r="E1393" s="16">
        <f t="shared" si="136"/>
        <v>6660</v>
      </c>
      <c r="F1393" s="16">
        <f ca="1" t="shared" si="133"/>
        <v>0</v>
      </c>
      <c r="G1393" s="16">
        <f ca="1" t="shared" si="132"/>
        <v>0</v>
      </c>
    </row>
    <row r="1394" spans="2:7">
      <c r="B1394" s="17" t="str">
        <f t="shared" si="131"/>
        <v>2/2029</v>
      </c>
      <c r="C1394" s="18">
        <f t="shared" si="134"/>
        <v>47160</v>
      </c>
      <c r="D1394" s="18" t="str">
        <f t="shared" si="135"/>
        <v>11/02/2029 a 17/02/2029</v>
      </c>
      <c r="E1394" s="16">
        <f t="shared" si="136"/>
        <v>6662</v>
      </c>
      <c r="F1394" s="16">
        <f ca="1" t="shared" si="133"/>
        <v>0</v>
      </c>
      <c r="G1394" s="16">
        <f ca="1" t="shared" si="132"/>
        <v>0</v>
      </c>
    </row>
    <row r="1395" spans="2:7">
      <c r="B1395" s="17" t="str">
        <f t="shared" si="131"/>
        <v>2/2029</v>
      </c>
      <c r="C1395" s="18">
        <f t="shared" si="134"/>
        <v>47167</v>
      </c>
      <c r="D1395" s="18" t="str">
        <f t="shared" si="135"/>
        <v>18/02/2029 a 24/02/2029</v>
      </c>
      <c r="E1395" s="16">
        <f>E1390+24</f>
        <v>6678</v>
      </c>
      <c r="F1395" s="16">
        <f ca="1" t="shared" si="133"/>
        <v>0</v>
      </c>
      <c r="G1395" s="16">
        <f ca="1" t="shared" si="132"/>
        <v>0</v>
      </c>
    </row>
    <row r="1396" spans="2:7">
      <c r="B1396" s="17" t="str">
        <f t="shared" si="131"/>
        <v>2/2029</v>
      </c>
      <c r="C1396" s="18">
        <f t="shared" si="134"/>
        <v>47167</v>
      </c>
      <c r="D1396" s="18" t="str">
        <f t="shared" si="135"/>
        <v>18/02/2029 a 24/02/2029</v>
      </c>
      <c r="E1396" s="16">
        <f t="shared" si="136"/>
        <v>6680</v>
      </c>
      <c r="F1396" s="16">
        <f ca="1" t="shared" si="133"/>
        <v>0</v>
      </c>
      <c r="G1396" s="16">
        <f ca="1" t="shared" si="132"/>
        <v>0</v>
      </c>
    </row>
    <row r="1397" spans="2:7">
      <c r="B1397" s="17" t="str">
        <f t="shared" si="131"/>
        <v>2/2029</v>
      </c>
      <c r="C1397" s="18">
        <f t="shared" si="134"/>
        <v>47167</v>
      </c>
      <c r="D1397" s="18" t="str">
        <f t="shared" si="135"/>
        <v>18/02/2029 a 24/02/2029</v>
      </c>
      <c r="E1397" s="16">
        <f t="shared" si="136"/>
        <v>6682</v>
      </c>
      <c r="F1397" s="16">
        <f ca="1" t="shared" si="133"/>
        <v>0</v>
      </c>
      <c r="G1397" s="16">
        <f ca="1" t="shared" si="132"/>
        <v>0</v>
      </c>
    </row>
    <row r="1398" spans="2:7">
      <c r="B1398" s="17" t="str">
        <f t="shared" si="131"/>
        <v>2/2029</v>
      </c>
      <c r="C1398" s="18">
        <f t="shared" si="134"/>
        <v>47167</v>
      </c>
      <c r="D1398" s="18" t="str">
        <f t="shared" si="135"/>
        <v>18/02/2029 a 24/02/2029</v>
      </c>
      <c r="E1398" s="16">
        <f t="shared" si="136"/>
        <v>6684</v>
      </c>
      <c r="F1398" s="16">
        <f ca="1" t="shared" si="133"/>
        <v>0</v>
      </c>
      <c r="G1398" s="16">
        <f ca="1" t="shared" si="132"/>
        <v>0</v>
      </c>
    </row>
    <row r="1399" spans="2:7">
      <c r="B1399" s="17" t="str">
        <f t="shared" si="131"/>
        <v>2/2029</v>
      </c>
      <c r="C1399" s="18">
        <f t="shared" si="134"/>
        <v>47167</v>
      </c>
      <c r="D1399" s="18" t="str">
        <f t="shared" si="135"/>
        <v>18/02/2029 a 24/02/2029</v>
      </c>
      <c r="E1399" s="16">
        <f t="shared" si="136"/>
        <v>6686</v>
      </c>
      <c r="F1399" s="16">
        <f ca="1" t="shared" si="133"/>
        <v>0</v>
      </c>
      <c r="G1399" s="16">
        <f ca="1" t="shared" si="132"/>
        <v>0</v>
      </c>
    </row>
    <row r="1400" spans="2:7">
      <c r="B1400" s="17" t="str">
        <f t="shared" si="131"/>
        <v>2/2029</v>
      </c>
      <c r="C1400" s="18">
        <f t="shared" si="134"/>
        <v>47174</v>
      </c>
      <c r="D1400" s="18" t="str">
        <f t="shared" si="135"/>
        <v>25/02/2029 a 03/03/2029</v>
      </c>
      <c r="E1400" s="16">
        <f>E1395+24</f>
        <v>6702</v>
      </c>
      <c r="F1400" s="16">
        <f ca="1" t="shared" si="133"/>
        <v>0</v>
      </c>
      <c r="G1400" s="16">
        <f ca="1" t="shared" si="132"/>
        <v>0</v>
      </c>
    </row>
    <row r="1401" spans="2:7">
      <c r="B1401" s="17" t="str">
        <f t="shared" ref="B1401:B1464" si="137">MONTH(C1401)&amp;"/"&amp;YEAR(C1401)</f>
        <v>2/2029</v>
      </c>
      <c r="C1401" s="18">
        <f t="shared" si="134"/>
        <v>47174</v>
      </c>
      <c r="D1401" s="18" t="str">
        <f t="shared" si="135"/>
        <v>25/02/2029 a 03/03/2029</v>
      </c>
      <c r="E1401" s="16">
        <f t="shared" si="136"/>
        <v>6704</v>
      </c>
      <c r="F1401" s="16">
        <f ca="1" t="shared" si="133"/>
        <v>0</v>
      </c>
      <c r="G1401" s="16">
        <f ca="1" t="shared" ref="G1401:G1464" si="138">INDIRECT("'Diário'!J"&amp;E1401)</f>
        <v>0</v>
      </c>
    </row>
    <row r="1402" spans="2:7">
      <c r="B1402" s="17" t="str">
        <f t="shared" si="137"/>
        <v>2/2029</v>
      </c>
      <c r="C1402" s="18">
        <f t="shared" si="134"/>
        <v>47174</v>
      </c>
      <c r="D1402" s="18" t="str">
        <f t="shared" si="135"/>
        <v>25/02/2029 a 03/03/2029</v>
      </c>
      <c r="E1402" s="16">
        <f t="shared" si="136"/>
        <v>6706</v>
      </c>
      <c r="F1402" s="16">
        <f ca="1" t="shared" si="133"/>
        <v>0</v>
      </c>
      <c r="G1402" s="16">
        <f ca="1" t="shared" si="138"/>
        <v>0</v>
      </c>
    </row>
    <row r="1403" spans="2:7">
      <c r="B1403" s="17" t="str">
        <f t="shared" si="137"/>
        <v>2/2029</v>
      </c>
      <c r="C1403" s="18">
        <f t="shared" si="134"/>
        <v>47174</v>
      </c>
      <c r="D1403" s="18" t="str">
        <f t="shared" si="135"/>
        <v>25/02/2029 a 03/03/2029</v>
      </c>
      <c r="E1403" s="16">
        <f t="shared" si="136"/>
        <v>6708</v>
      </c>
      <c r="F1403" s="16">
        <f ca="1" t="shared" si="133"/>
        <v>0</v>
      </c>
      <c r="G1403" s="16">
        <f ca="1" t="shared" si="138"/>
        <v>0</v>
      </c>
    </row>
    <row r="1404" spans="2:7">
      <c r="B1404" s="17" t="str">
        <f t="shared" si="137"/>
        <v>2/2029</v>
      </c>
      <c r="C1404" s="18">
        <f t="shared" si="134"/>
        <v>47174</v>
      </c>
      <c r="D1404" s="18" t="str">
        <f t="shared" si="135"/>
        <v>25/02/2029 a 03/03/2029</v>
      </c>
      <c r="E1404" s="16">
        <f t="shared" si="136"/>
        <v>6710</v>
      </c>
      <c r="F1404" s="16">
        <f ca="1" t="shared" si="133"/>
        <v>0</v>
      </c>
      <c r="G1404" s="16">
        <f ca="1" t="shared" si="138"/>
        <v>0</v>
      </c>
    </row>
    <row r="1405" spans="2:7">
      <c r="B1405" s="17" t="str">
        <f t="shared" si="137"/>
        <v>3/2029</v>
      </c>
      <c r="C1405" s="18">
        <f t="shared" si="134"/>
        <v>47181</v>
      </c>
      <c r="D1405" s="18" t="str">
        <f t="shared" si="135"/>
        <v>04/03/2029 a 10/03/2029</v>
      </c>
      <c r="E1405" s="16">
        <f>E1400+24</f>
        <v>6726</v>
      </c>
      <c r="F1405" s="16">
        <f ca="1" t="shared" si="133"/>
        <v>0</v>
      </c>
      <c r="G1405" s="16">
        <f ca="1" t="shared" si="138"/>
        <v>0</v>
      </c>
    </row>
    <row r="1406" spans="2:7">
      <c r="B1406" s="17" t="str">
        <f t="shared" si="137"/>
        <v>3/2029</v>
      </c>
      <c r="C1406" s="18">
        <f t="shared" si="134"/>
        <v>47181</v>
      </c>
      <c r="D1406" s="18" t="str">
        <f t="shared" si="135"/>
        <v>04/03/2029 a 10/03/2029</v>
      </c>
      <c r="E1406" s="16">
        <f t="shared" si="136"/>
        <v>6728</v>
      </c>
      <c r="F1406" s="16">
        <f ca="1" t="shared" ref="F1406:F1469" si="139">INDIRECT("Diário!I"&amp;E1406)</f>
        <v>0</v>
      </c>
      <c r="G1406" s="16">
        <f ca="1" t="shared" si="138"/>
        <v>0</v>
      </c>
    </row>
    <row r="1407" spans="2:7">
      <c r="B1407" s="17" t="str">
        <f t="shared" si="137"/>
        <v>3/2029</v>
      </c>
      <c r="C1407" s="18">
        <f t="shared" si="134"/>
        <v>47181</v>
      </c>
      <c r="D1407" s="18" t="str">
        <f t="shared" si="135"/>
        <v>04/03/2029 a 10/03/2029</v>
      </c>
      <c r="E1407" s="16">
        <f t="shared" si="136"/>
        <v>6730</v>
      </c>
      <c r="F1407" s="16">
        <f ca="1" t="shared" si="139"/>
        <v>0</v>
      </c>
      <c r="G1407" s="16">
        <f ca="1" t="shared" si="138"/>
        <v>0</v>
      </c>
    </row>
    <row r="1408" spans="2:7">
      <c r="B1408" s="17" t="str">
        <f t="shared" si="137"/>
        <v>3/2029</v>
      </c>
      <c r="C1408" s="18">
        <f t="shared" si="134"/>
        <v>47181</v>
      </c>
      <c r="D1408" s="18" t="str">
        <f t="shared" si="135"/>
        <v>04/03/2029 a 10/03/2029</v>
      </c>
      <c r="E1408" s="16">
        <f t="shared" si="136"/>
        <v>6732</v>
      </c>
      <c r="F1408" s="16">
        <f ca="1" t="shared" si="139"/>
        <v>0</v>
      </c>
      <c r="G1408" s="16">
        <f ca="1" t="shared" si="138"/>
        <v>0</v>
      </c>
    </row>
    <row r="1409" spans="2:7">
      <c r="B1409" s="17" t="str">
        <f t="shared" si="137"/>
        <v>3/2029</v>
      </c>
      <c r="C1409" s="18">
        <f t="shared" si="134"/>
        <v>47181</v>
      </c>
      <c r="D1409" s="18" t="str">
        <f t="shared" si="135"/>
        <v>04/03/2029 a 10/03/2029</v>
      </c>
      <c r="E1409" s="16">
        <f t="shared" si="136"/>
        <v>6734</v>
      </c>
      <c r="F1409" s="16">
        <f ca="1" t="shared" si="139"/>
        <v>0</v>
      </c>
      <c r="G1409" s="16">
        <f ca="1" t="shared" si="138"/>
        <v>0</v>
      </c>
    </row>
    <row r="1410" spans="2:7">
      <c r="B1410" s="17" t="str">
        <f t="shared" si="137"/>
        <v>3/2029</v>
      </c>
      <c r="C1410" s="18">
        <f t="shared" si="134"/>
        <v>47188</v>
      </c>
      <c r="D1410" s="18" t="str">
        <f t="shared" si="135"/>
        <v>11/03/2029 a 17/03/2029</v>
      </c>
      <c r="E1410" s="16">
        <f>E1405+24</f>
        <v>6750</v>
      </c>
      <c r="F1410" s="16">
        <f ca="1" t="shared" si="139"/>
        <v>0</v>
      </c>
      <c r="G1410" s="16">
        <f ca="1" t="shared" si="138"/>
        <v>0</v>
      </c>
    </row>
    <row r="1411" spans="2:7">
      <c r="B1411" s="17" t="str">
        <f t="shared" si="137"/>
        <v>3/2029</v>
      </c>
      <c r="C1411" s="18">
        <f t="shared" si="134"/>
        <v>47188</v>
      </c>
      <c r="D1411" s="18" t="str">
        <f t="shared" si="135"/>
        <v>11/03/2029 a 17/03/2029</v>
      </c>
      <c r="E1411" s="16">
        <f t="shared" si="136"/>
        <v>6752</v>
      </c>
      <c r="F1411" s="16">
        <f ca="1" t="shared" si="139"/>
        <v>0</v>
      </c>
      <c r="G1411" s="16">
        <f ca="1" t="shared" si="138"/>
        <v>0</v>
      </c>
    </row>
    <row r="1412" spans="2:7">
      <c r="B1412" s="17" t="str">
        <f t="shared" si="137"/>
        <v>3/2029</v>
      </c>
      <c r="C1412" s="18">
        <f t="shared" si="134"/>
        <v>47188</v>
      </c>
      <c r="D1412" s="18" t="str">
        <f t="shared" si="135"/>
        <v>11/03/2029 a 17/03/2029</v>
      </c>
      <c r="E1412" s="16">
        <f t="shared" si="136"/>
        <v>6754</v>
      </c>
      <c r="F1412" s="16">
        <f ca="1" t="shared" si="139"/>
        <v>0</v>
      </c>
      <c r="G1412" s="16">
        <f ca="1" t="shared" si="138"/>
        <v>0</v>
      </c>
    </row>
    <row r="1413" spans="2:7">
      <c r="B1413" s="17" t="str">
        <f t="shared" si="137"/>
        <v>3/2029</v>
      </c>
      <c r="C1413" s="18">
        <f t="shared" si="134"/>
        <v>47188</v>
      </c>
      <c r="D1413" s="18" t="str">
        <f t="shared" si="135"/>
        <v>11/03/2029 a 17/03/2029</v>
      </c>
      <c r="E1413" s="16">
        <f t="shared" si="136"/>
        <v>6756</v>
      </c>
      <c r="F1413" s="16">
        <f ca="1" t="shared" si="139"/>
        <v>0</v>
      </c>
      <c r="G1413" s="16">
        <f ca="1" t="shared" si="138"/>
        <v>0</v>
      </c>
    </row>
    <row r="1414" spans="2:7">
      <c r="B1414" s="17" t="str">
        <f t="shared" si="137"/>
        <v>3/2029</v>
      </c>
      <c r="C1414" s="18">
        <f t="shared" si="134"/>
        <v>47188</v>
      </c>
      <c r="D1414" s="18" t="str">
        <f t="shared" si="135"/>
        <v>11/03/2029 a 17/03/2029</v>
      </c>
      <c r="E1414" s="16">
        <f t="shared" si="136"/>
        <v>6758</v>
      </c>
      <c r="F1414" s="16">
        <f ca="1" t="shared" si="139"/>
        <v>0</v>
      </c>
      <c r="G1414" s="16">
        <f ca="1" t="shared" si="138"/>
        <v>0</v>
      </c>
    </row>
    <row r="1415" spans="2:7">
      <c r="B1415" s="17" t="str">
        <f t="shared" si="137"/>
        <v>3/2029</v>
      </c>
      <c r="C1415" s="18">
        <f t="shared" si="134"/>
        <v>47195</v>
      </c>
      <c r="D1415" s="18" t="str">
        <f t="shared" si="135"/>
        <v>18/03/2029 a 24/03/2029</v>
      </c>
      <c r="E1415" s="16">
        <f>E1410+24</f>
        <v>6774</v>
      </c>
      <c r="F1415" s="16">
        <f ca="1" t="shared" si="139"/>
        <v>0</v>
      </c>
      <c r="G1415" s="16">
        <f ca="1" t="shared" si="138"/>
        <v>0</v>
      </c>
    </row>
    <row r="1416" spans="2:7">
      <c r="B1416" s="17" t="str">
        <f t="shared" si="137"/>
        <v>3/2029</v>
      </c>
      <c r="C1416" s="18">
        <f t="shared" si="134"/>
        <v>47195</v>
      </c>
      <c r="D1416" s="18" t="str">
        <f t="shared" si="135"/>
        <v>18/03/2029 a 24/03/2029</v>
      </c>
      <c r="E1416" s="16">
        <f t="shared" si="136"/>
        <v>6776</v>
      </c>
      <c r="F1416" s="16">
        <f ca="1" t="shared" si="139"/>
        <v>0</v>
      </c>
      <c r="G1416" s="16">
        <f ca="1" t="shared" si="138"/>
        <v>0</v>
      </c>
    </row>
    <row r="1417" spans="2:7">
      <c r="B1417" s="17" t="str">
        <f t="shared" si="137"/>
        <v>3/2029</v>
      </c>
      <c r="C1417" s="18">
        <f t="shared" si="134"/>
        <v>47195</v>
      </c>
      <c r="D1417" s="18" t="str">
        <f t="shared" si="135"/>
        <v>18/03/2029 a 24/03/2029</v>
      </c>
      <c r="E1417" s="16">
        <f t="shared" si="136"/>
        <v>6778</v>
      </c>
      <c r="F1417" s="16">
        <f ca="1" t="shared" si="139"/>
        <v>0</v>
      </c>
      <c r="G1417" s="16">
        <f ca="1" t="shared" si="138"/>
        <v>0</v>
      </c>
    </row>
    <row r="1418" spans="2:7">
      <c r="B1418" s="17" t="str">
        <f t="shared" si="137"/>
        <v>3/2029</v>
      </c>
      <c r="C1418" s="18">
        <f t="shared" si="134"/>
        <v>47195</v>
      </c>
      <c r="D1418" s="18" t="str">
        <f t="shared" si="135"/>
        <v>18/03/2029 a 24/03/2029</v>
      </c>
      <c r="E1418" s="16">
        <f t="shared" si="136"/>
        <v>6780</v>
      </c>
      <c r="F1418" s="16">
        <f ca="1" t="shared" si="139"/>
        <v>0</v>
      </c>
      <c r="G1418" s="16">
        <f ca="1" t="shared" si="138"/>
        <v>0</v>
      </c>
    </row>
    <row r="1419" spans="2:7">
      <c r="B1419" s="17" t="str">
        <f t="shared" si="137"/>
        <v>3/2029</v>
      </c>
      <c r="C1419" s="18">
        <f t="shared" si="134"/>
        <v>47195</v>
      </c>
      <c r="D1419" s="18" t="str">
        <f t="shared" si="135"/>
        <v>18/03/2029 a 24/03/2029</v>
      </c>
      <c r="E1419" s="16">
        <f t="shared" si="136"/>
        <v>6782</v>
      </c>
      <c r="F1419" s="16">
        <f ca="1" t="shared" si="139"/>
        <v>0</v>
      </c>
      <c r="G1419" s="16">
        <f ca="1" t="shared" si="138"/>
        <v>0</v>
      </c>
    </row>
    <row r="1420" spans="2:7">
      <c r="B1420" s="17" t="str">
        <f t="shared" si="137"/>
        <v>3/2029</v>
      </c>
      <c r="C1420" s="18">
        <f t="shared" si="134"/>
        <v>47202</v>
      </c>
      <c r="D1420" s="18" t="str">
        <f t="shared" si="135"/>
        <v>25/03/2029 a 31/03/2029</v>
      </c>
      <c r="E1420" s="16">
        <f>E1415+24</f>
        <v>6798</v>
      </c>
      <c r="F1420" s="16">
        <f ca="1" t="shared" si="139"/>
        <v>0</v>
      </c>
      <c r="G1420" s="16">
        <f ca="1" t="shared" si="138"/>
        <v>0</v>
      </c>
    </row>
    <row r="1421" spans="2:7">
      <c r="B1421" s="17" t="str">
        <f t="shared" si="137"/>
        <v>3/2029</v>
      </c>
      <c r="C1421" s="18">
        <f t="shared" si="134"/>
        <v>47202</v>
      </c>
      <c r="D1421" s="18" t="str">
        <f t="shared" si="135"/>
        <v>25/03/2029 a 31/03/2029</v>
      </c>
      <c r="E1421" s="16">
        <f t="shared" si="136"/>
        <v>6800</v>
      </c>
      <c r="F1421" s="16">
        <f ca="1" t="shared" si="139"/>
        <v>0</v>
      </c>
      <c r="G1421" s="16">
        <f ca="1" t="shared" si="138"/>
        <v>0</v>
      </c>
    </row>
    <row r="1422" spans="2:7">
      <c r="B1422" s="17" t="str">
        <f t="shared" si="137"/>
        <v>3/2029</v>
      </c>
      <c r="C1422" s="18">
        <f t="shared" si="134"/>
        <v>47202</v>
      </c>
      <c r="D1422" s="18" t="str">
        <f t="shared" si="135"/>
        <v>25/03/2029 a 31/03/2029</v>
      </c>
      <c r="E1422" s="16">
        <f t="shared" si="136"/>
        <v>6802</v>
      </c>
      <c r="F1422" s="16">
        <f ca="1" t="shared" si="139"/>
        <v>0</v>
      </c>
      <c r="G1422" s="16">
        <f ca="1" t="shared" si="138"/>
        <v>0</v>
      </c>
    </row>
    <row r="1423" spans="2:7">
      <c r="B1423" s="17" t="str">
        <f t="shared" si="137"/>
        <v>3/2029</v>
      </c>
      <c r="C1423" s="18">
        <f t="shared" si="134"/>
        <v>47202</v>
      </c>
      <c r="D1423" s="18" t="str">
        <f t="shared" si="135"/>
        <v>25/03/2029 a 31/03/2029</v>
      </c>
      <c r="E1423" s="16">
        <f t="shared" si="136"/>
        <v>6804</v>
      </c>
      <c r="F1423" s="16">
        <f ca="1" t="shared" si="139"/>
        <v>0</v>
      </c>
      <c r="G1423" s="16">
        <f ca="1" t="shared" si="138"/>
        <v>0</v>
      </c>
    </row>
    <row r="1424" spans="2:7">
      <c r="B1424" s="17" t="str">
        <f t="shared" si="137"/>
        <v>3/2029</v>
      </c>
      <c r="C1424" s="18">
        <f t="shared" si="134"/>
        <v>47202</v>
      </c>
      <c r="D1424" s="18" t="str">
        <f t="shared" si="135"/>
        <v>25/03/2029 a 31/03/2029</v>
      </c>
      <c r="E1424" s="16">
        <f t="shared" si="136"/>
        <v>6806</v>
      </c>
      <c r="F1424" s="16">
        <f ca="1" t="shared" si="139"/>
        <v>0</v>
      </c>
      <c r="G1424" s="16">
        <f ca="1" t="shared" si="138"/>
        <v>0</v>
      </c>
    </row>
    <row r="1425" spans="2:7">
      <c r="B1425" s="17" t="str">
        <f t="shared" si="137"/>
        <v>4/2029</v>
      </c>
      <c r="C1425" s="18">
        <f t="shared" si="134"/>
        <v>47209</v>
      </c>
      <c r="D1425" s="18" t="str">
        <f t="shared" si="135"/>
        <v>01/04/2029 a 07/04/2029</v>
      </c>
      <c r="E1425" s="16">
        <f>E1420+24</f>
        <v>6822</v>
      </c>
      <c r="F1425" s="16">
        <f ca="1" t="shared" si="139"/>
        <v>0</v>
      </c>
      <c r="G1425" s="16">
        <f ca="1" t="shared" si="138"/>
        <v>0</v>
      </c>
    </row>
    <row r="1426" spans="2:7">
      <c r="B1426" s="17" t="str">
        <f t="shared" si="137"/>
        <v>4/2029</v>
      </c>
      <c r="C1426" s="18">
        <f t="shared" ref="C1426:C1489" si="140">C1421+7</f>
        <v>47209</v>
      </c>
      <c r="D1426" s="18" t="str">
        <f t="shared" si="135"/>
        <v>01/04/2029 a 07/04/2029</v>
      </c>
      <c r="E1426" s="16">
        <f t="shared" si="136"/>
        <v>6824</v>
      </c>
      <c r="F1426" s="16">
        <f ca="1" t="shared" si="139"/>
        <v>0</v>
      </c>
      <c r="G1426" s="16">
        <f ca="1" t="shared" si="138"/>
        <v>0</v>
      </c>
    </row>
    <row r="1427" spans="2:7">
      <c r="B1427" s="17" t="str">
        <f t="shared" si="137"/>
        <v>4/2029</v>
      </c>
      <c r="C1427" s="18">
        <f t="shared" si="140"/>
        <v>47209</v>
      </c>
      <c r="D1427" s="18" t="str">
        <f t="shared" ref="D1427:D1490" si="141">TEXT((C1427),"DD/MM/AAAA")&amp;" a "&amp;TEXT((C1427+6),"DD/MM/AAAA")</f>
        <v>01/04/2029 a 07/04/2029</v>
      </c>
      <c r="E1427" s="16">
        <f t="shared" si="136"/>
        <v>6826</v>
      </c>
      <c r="F1427" s="16">
        <f ca="1" t="shared" si="139"/>
        <v>0</v>
      </c>
      <c r="G1427" s="16">
        <f ca="1" t="shared" si="138"/>
        <v>0</v>
      </c>
    </row>
    <row r="1428" spans="2:7">
      <c r="B1428" s="17" t="str">
        <f t="shared" si="137"/>
        <v>4/2029</v>
      </c>
      <c r="C1428" s="18">
        <f t="shared" si="140"/>
        <v>47209</v>
      </c>
      <c r="D1428" s="18" t="str">
        <f t="shared" si="141"/>
        <v>01/04/2029 a 07/04/2029</v>
      </c>
      <c r="E1428" s="16">
        <f t="shared" si="136"/>
        <v>6828</v>
      </c>
      <c r="F1428" s="16">
        <f ca="1" t="shared" si="139"/>
        <v>0</v>
      </c>
      <c r="G1428" s="16">
        <f ca="1" t="shared" si="138"/>
        <v>0</v>
      </c>
    </row>
    <row r="1429" spans="2:7">
      <c r="B1429" s="17" t="str">
        <f t="shared" si="137"/>
        <v>4/2029</v>
      </c>
      <c r="C1429" s="18">
        <f t="shared" si="140"/>
        <v>47209</v>
      </c>
      <c r="D1429" s="18" t="str">
        <f t="shared" si="141"/>
        <v>01/04/2029 a 07/04/2029</v>
      </c>
      <c r="E1429" s="16">
        <f t="shared" si="136"/>
        <v>6830</v>
      </c>
      <c r="F1429" s="16">
        <f ca="1" t="shared" si="139"/>
        <v>0</v>
      </c>
      <c r="G1429" s="16">
        <f ca="1" t="shared" si="138"/>
        <v>0</v>
      </c>
    </row>
    <row r="1430" spans="2:7">
      <c r="B1430" s="17" t="str">
        <f t="shared" si="137"/>
        <v>4/2029</v>
      </c>
      <c r="C1430" s="18">
        <f t="shared" si="140"/>
        <v>47216</v>
      </c>
      <c r="D1430" s="18" t="str">
        <f t="shared" si="141"/>
        <v>08/04/2029 a 14/04/2029</v>
      </c>
      <c r="E1430" s="16">
        <f>E1425+24</f>
        <v>6846</v>
      </c>
      <c r="F1430" s="16">
        <f ca="1" t="shared" si="139"/>
        <v>0</v>
      </c>
      <c r="G1430" s="16">
        <f ca="1" t="shared" si="138"/>
        <v>0</v>
      </c>
    </row>
    <row r="1431" spans="2:7">
      <c r="B1431" s="17" t="str">
        <f t="shared" si="137"/>
        <v>4/2029</v>
      </c>
      <c r="C1431" s="18">
        <f t="shared" si="140"/>
        <v>47216</v>
      </c>
      <c r="D1431" s="18" t="str">
        <f t="shared" si="141"/>
        <v>08/04/2029 a 14/04/2029</v>
      </c>
      <c r="E1431" s="16">
        <f t="shared" si="136"/>
        <v>6848</v>
      </c>
      <c r="F1431" s="16">
        <f ca="1" t="shared" si="139"/>
        <v>0</v>
      </c>
      <c r="G1431" s="16">
        <f ca="1" t="shared" si="138"/>
        <v>0</v>
      </c>
    </row>
    <row r="1432" spans="2:7">
      <c r="B1432" s="17" t="str">
        <f t="shared" si="137"/>
        <v>4/2029</v>
      </c>
      <c r="C1432" s="18">
        <f t="shared" si="140"/>
        <v>47216</v>
      </c>
      <c r="D1432" s="18" t="str">
        <f t="shared" si="141"/>
        <v>08/04/2029 a 14/04/2029</v>
      </c>
      <c r="E1432" s="16">
        <f t="shared" si="136"/>
        <v>6850</v>
      </c>
      <c r="F1432" s="16">
        <f ca="1" t="shared" si="139"/>
        <v>0</v>
      </c>
      <c r="G1432" s="16">
        <f ca="1" t="shared" si="138"/>
        <v>0</v>
      </c>
    </row>
    <row r="1433" spans="2:7">
      <c r="B1433" s="17" t="str">
        <f t="shared" si="137"/>
        <v>4/2029</v>
      </c>
      <c r="C1433" s="18">
        <f t="shared" si="140"/>
        <v>47216</v>
      </c>
      <c r="D1433" s="18" t="str">
        <f t="shared" si="141"/>
        <v>08/04/2029 a 14/04/2029</v>
      </c>
      <c r="E1433" s="16">
        <f t="shared" si="136"/>
        <v>6852</v>
      </c>
      <c r="F1433" s="16">
        <f ca="1" t="shared" si="139"/>
        <v>0</v>
      </c>
      <c r="G1433" s="16">
        <f ca="1" t="shared" si="138"/>
        <v>0</v>
      </c>
    </row>
    <row r="1434" spans="2:7">
      <c r="B1434" s="17" t="str">
        <f t="shared" si="137"/>
        <v>4/2029</v>
      </c>
      <c r="C1434" s="18">
        <f t="shared" si="140"/>
        <v>47216</v>
      </c>
      <c r="D1434" s="18" t="str">
        <f t="shared" si="141"/>
        <v>08/04/2029 a 14/04/2029</v>
      </c>
      <c r="E1434" s="16">
        <f t="shared" si="136"/>
        <v>6854</v>
      </c>
      <c r="F1434" s="16">
        <f ca="1" t="shared" si="139"/>
        <v>0</v>
      </c>
      <c r="G1434" s="16">
        <f ca="1" t="shared" si="138"/>
        <v>0</v>
      </c>
    </row>
    <row r="1435" spans="2:7">
      <c r="B1435" s="17" t="str">
        <f t="shared" si="137"/>
        <v>4/2029</v>
      </c>
      <c r="C1435" s="18">
        <f t="shared" si="140"/>
        <v>47223</v>
      </c>
      <c r="D1435" s="18" t="str">
        <f t="shared" si="141"/>
        <v>15/04/2029 a 21/04/2029</v>
      </c>
      <c r="E1435" s="16">
        <f>E1430+24</f>
        <v>6870</v>
      </c>
      <c r="F1435" s="16">
        <f ca="1" t="shared" si="139"/>
        <v>0</v>
      </c>
      <c r="G1435" s="16">
        <f ca="1" t="shared" si="138"/>
        <v>0</v>
      </c>
    </row>
    <row r="1436" spans="2:7">
      <c r="B1436" s="17" t="str">
        <f t="shared" si="137"/>
        <v>4/2029</v>
      </c>
      <c r="C1436" s="18">
        <f t="shared" si="140"/>
        <v>47223</v>
      </c>
      <c r="D1436" s="18" t="str">
        <f t="shared" si="141"/>
        <v>15/04/2029 a 21/04/2029</v>
      </c>
      <c r="E1436" s="16">
        <f t="shared" si="136"/>
        <v>6872</v>
      </c>
      <c r="F1436" s="16">
        <f ca="1" t="shared" si="139"/>
        <v>0</v>
      </c>
      <c r="G1436" s="16">
        <f ca="1" t="shared" si="138"/>
        <v>0</v>
      </c>
    </row>
    <row r="1437" spans="2:7">
      <c r="B1437" s="17" t="str">
        <f t="shared" si="137"/>
        <v>4/2029</v>
      </c>
      <c r="C1437" s="18">
        <f t="shared" si="140"/>
        <v>47223</v>
      </c>
      <c r="D1437" s="18" t="str">
        <f t="shared" si="141"/>
        <v>15/04/2029 a 21/04/2029</v>
      </c>
      <c r="E1437" s="16">
        <f t="shared" si="136"/>
        <v>6874</v>
      </c>
      <c r="F1437" s="16">
        <f ca="1" t="shared" si="139"/>
        <v>0</v>
      </c>
      <c r="G1437" s="16">
        <f ca="1" t="shared" si="138"/>
        <v>0</v>
      </c>
    </row>
    <row r="1438" spans="2:7">
      <c r="B1438" s="17" t="str">
        <f t="shared" si="137"/>
        <v>4/2029</v>
      </c>
      <c r="C1438" s="18">
        <f t="shared" si="140"/>
        <v>47223</v>
      </c>
      <c r="D1438" s="18" t="str">
        <f t="shared" si="141"/>
        <v>15/04/2029 a 21/04/2029</v>
      </c>
      <c r="E1438" s="16">
        <f t="shared" si="136"/>
        <v>6876</v>
      </c>
      <c r="F1438" s="16">
        <f ca="1" t="shared" si="139"/>
        <v>0</v>
      </c>
      <c r="G1438" s="16">
        <f ca="1" t="shared" si="138"/>
        <v>0</v>
      </c>
    </row>
    <row r="1439" spans="2:7">
      <c r="B1439" s="17" t="str">
        <f t="shared" si="137"/>
        <v>4/2029</v>
      </c>
      <c r="C1439" s="18">
        <f t="shared" si="140"/>
        <v>47223</v>
      </c>
      <c r="D1439" s="18" t="str">
        <f t="shared" si="141"/>
        <v>15/04/2029 a 21/04/2029</v>
      </c>
      <c r="E1439" s="16">
        <f t="shared" si="136"/>
        <v>6878</v>
      </c>
      <c r="F1439" s="16">
        <f ca="1" t="shared" si="139"/>
        <v>0</v>
      </c>
      <c r="G1439" s="16">
        <f ca="1" t="shared" si="138"/>
        <v>0</v>
      </c>
    </row>
    <row r="1440" spans="2:7">
      <c r="B1440" s="17" t="str">
        <f t="shared" si="137"/>
        <v>4/2029</v>
      </c>
      <c r="C1440" s="18">
        <f t="shared" si="140"/>
        <v>47230</v>
      </c>
      <c r="D1440" s="18" t="str">
        <f t="shared" si="141"/>
        <v>22/04/2029 a 28/04/2029</v>
      </c>
      <c r="E1440" s="16">
        <f>E1435+24</f>
        <v>6894</v>
      </c>
      <c r="F1440" s="16">
        <f ca="1" t="shared" si="139"/>
        <v>0</v>
      </c>
      <c r="G1440" s="16">
        <f ca="1" t="shared" si="138"/>
        <v>0</v>
      </c>
    </row>
    <row r="1441" spans="2:7">
      <c r="B1441" s="17" t="str">
        <f t="shared" si="137"/>
        <v>4/2029</v>
      </c>
      <c r="C1441" s="18">
        <f t="shared" si="140"/>
        <v>47230</v>
      </c>
      <c r="D1441" s="18" t="str">
        <f t="shared" si="141"/>
        <v>22/04/2029 a 28/04/2029</v>
      </c>
      <c r="E1441" s="16">
        <f t="shared" si="136"/>
        <v>6896</v>
      </c>
      <c r="F1441" s="16">
        <f ca="1" t="shared" si="139"/>
        <v>0</v>
      </c>
      <c r="G1441" s="16">
        <f ca="1" t="shared" si="138"/>
        <v>0</v>
      </c>
    </row>
    <row r="1442" spans="2:7">
      <c r="B1442" s="17" t="str">
        <f t="shared" si="137"/>
        <v>4/2029</v>
      </c>
      <c r="C1442" s="18">
        <f t="shared" si="140"/>
        <v>47230</v>
      </c>
      <c r="D1442" s="18" t="str">
        <f t="shared" si="141"/>
        <v>22/04/2029 a 28/04/2029</v>
      </c>
      <c r="E1442" s="16">
        <f t="shared" si="136"/>
        <v>6898</v>
      </c>
      <c r="F1442" s="16">
        <f ca="1" t="shared" si="139"/>
        <v>0</v>
      </c>
      <c r="G1442" s="16">
        <f ca="1" t="shared" si="138"/>
        <v>0</v>
      </c>
    </row>
    <row r="1443" spans="2:7">
      <c r="B1443" s="17" t="str">
        <f t="shared" si="137"/>
        <v>4/2029</v>
      </c>
      <c r="C1443" s="18">
        <f t="shared" si="140"/>
        <v>47230</v>
      </c>
      <c r="D1443" s="18" t="str">
        <f t="shared" si="141"/>
        <v>22/04/2029 a 28/04/2029</v>
      </c>
      <c r="E1443" s="16">
        <f t="shared" si="136"/>
        <v>6900</v>
      </c>
      <c r="F1443" s="16">
        <f ca="1" t="shared" si="139"/>
        <v>0</v>
      </c>
      <c r="G1443" s="16">
        <f ca="1" t="shared" si="138"/>
        <v>0</v>
      </c>
    </row>
    <row r="1444" spans="2:7">
      <c r="B1444" s="17" t="str">
        <f t="shared" si="137"/>
        <v>4/2029</v>
      </c>
      <c r="C1444" s="18">
        <f t="shared" si="140"/>
        <v>47230</v>
      </c>
      <c r="D1444" s="18" t="str">
        <f t="shared" si="141"/>
        <v>22/04/2029 a 28/04/2029</v>
      </c>
      <c r="E1444" s="16">
        <f t="shared" si="136"/>
        <v>6902</v>
      </c>
      <c r="F1444" s="16">
        <f ca="1" t="shared" si="139"/>
        <v>0</v>
      </c>
      <c r="G1444" s="16">
        <f ca="1" t="shared" si="138"/>
        <v>0</v>
      </c>
    </row>
    <row r="1445" spans="2:7">
      <c r="B1445" s="17" t="str">
        <f t="shared" si="137"/>
        <v>4/2029</v>
      </c>
      <c r="C1445" s="18">
        <f t="shared" si="140"/>
        <v>47237</v>
      </c>
      <c r="D1445" s="18" t="str">
        <f t="shared" si="141"/>
        <v>29/04/2029 a 05/05/2029</v>
      </c>
      <c r="E1445" s="16">
        <f>E1440+24</f>
        <v>6918</v>
      </c>
      <c r="F1445" s="16">
        <f ca="1" t="shared" si="139"/>
        <v>0</v>
      </c>
      <c r="G1445" s="16">
        <f ca="1" t="shared" si="138"/>
        <v>0</v>
      </c>
    </row>
    <row r="1446" spans="2:7">
      <c r="B1446" s="17" t="str">
        <f t="shared" si="137"/>
        <v>4/2029</v>
      </c>
      <c r="C1446" s="18">
        <f t="shared" si="140"/>
        <v>47237</v>
      </c>
      <c r="D1446" s="18" t="str">
        <f t="shared" si="141"/>
        <v>29/04/2029 a 05/05/2029</v>
      </c>
      <c r="E1446" s="16">
        <f t="shared" si="136"/>
        <v>6920</v>
      </c>
      <c r="F1446" s="16">
        <f ca="1" t="shared" si="139"/>
        <v>0</v>
      </c>
      <c r="G1446" s="16">
        <f ca="1" t="shared" si="138"/>
        <v>0</v>
      </c>
    </row>
    <row r="1447" spans="2:7">
      <c r="B1447" s="17" t="str">
        <f t="shared" si="137"/>
        <v>4/2029</v>
      </c>
      <c r="C1447" s="18">
        <f t="shared" si="140"/>
        <v>47237</v>
      </c>
      <c r="D1447" s="18" t="str">
        <f t="shared" si="141"/>
        <v>29/04/2029 a 05/05/2029</v>
      </c>
      <c r="E1447" s="16">
        <f t="shared" si="136"/>
        <v>6922</v>
      </c>
      <c r="F1447" s="16">
        <f ca="1" t="shared" si="139"/>
        <v>0</v>
      </c>
      <c r="G1447" s="16">
        <f ca="1" t="shared" si="138"/>
        <v>0</v>
      </c>
    </row>
    <row r="1448" spans="2:7">
      <c r="B1448" s="17" t="str">
        <f t="shared" si="137"/>
        <v>4/2029</v>
      </c>
      <c r="C1448" s="18">
        <f t="shared" si="140"/>
        <v>47237</v>
      </c>
      <c r="D1448" s="18" t="str">
        <f t="shared" si="141"/>
        <v>29/04/2029 a 05/05/2029</v>
      </c>
      <c r="E1448" s="16">
        <f t="shared" si="136"/>
        <v>6924</v>
      </c>
      <c r="F1448" s="16">
        <f ca="1" t="shared" si="139"/>
        <v>0</v>
      </c>
      <c r="G1448" s="16">
        <f ca="1" t="shared" si="138"/>
        <v>0</v>
      </c>
    </row>
    <row r="1449" spans="2:7">
      <c r="B1449" s="17" t="str">
        <f t="shared" si="137"/>
        <v>4/2029</v>
      </c>
      <c r="C1449" s="18">
        <f t="shared" si="140"/>
        <v>47237</v>
      </c>
      <c r="D1449" s="18" t="str">
        <f t="shared" si="141"/>
        <v>29/04/2029 a 05/05/2029</v>
      </c>
      <c r="E1449" s="16">
        <f t="shared" si="136"/>
        <v>6926</v>
      </c>
      <c r="F1449" s="16">
        <f ca="1" t="shared" si="139"/>
        <v>0</v>
      </c>
      <c r="G1449" s="16">
        <f ca="1" t="shared" si="138"/>
        <v>0</v>
      </c>
    </row>
    <row r="1450" spans="2:7">
      <c r="B1450" s="17" t="str">
        <f t="shared" si="137"/>
        <v>5/2029</v>
      </c>
      <c r="C1450" s="18">
        <f t="shared" si="140"/>
        <v>47244</v>
      </c>
      <c r="D1450" s="18" t="str">
        <f t="shared" si="141"/>
        <v>06/05/2029 a 12/05/2029</v>
      </c>
      <c r="E1450" s="16">
        <f>E1445+24</f>
        <v>6942</v>
      </c>
      <c r="F1450" s="16">
        <f ca="1" t="shared" si="139"/>
        <v>0</v>
      </c>
      <c r="G1450" s="16">
        <f ca="1" t="shared" si="138"/>
        <v>0</v>
      </c>
    </row>
    <row r="1451" spans="2:7">
      <c r="B1451" s="17" t="str">
        <f t="shared" si="137"/>
        <v>5/2029</v>
      </c>
      <c r="C1451" s="18">
        <f t="shared" si="140"/>
        <v>47244</v>
      </c>
      <c r="D1451" s="18" t="str">
        <f t="shared" si="141"/>
        <v>06/05/2029 a 12/05/2029</v>
      </c>
      <c r="E1451" s="16">
        <f t="shared" si="136"/>
        <v>6944</v>
      </c>
      <c r="F1451" s="16">
        <f ca="1" t="shared" si="139"/>
        <v>0</v>
      </c>
      <c r="G1451" s="16">
        <f ca="1" t="shared" si="138"/>
        <v>0</v>
      </c>
    </row>
    <row r="1452" spans="2:7">
      <c r="B1452" s="17" t="str">
        <f t="shared" si="137"/>
        <v>5/2029</v>
      </c>
      <c r="C1452" s="18">
        <f t="shared" si="140"/>
        <v>47244</v>
      </c>
      <c r="D1452" s="18" t="str">
        <f t="shared" si="141"/>
        <v>06/05/2029 a 12/05/2029</v>
      </c>
      <c r="E1452" s="16">
        <f t="shared" si="136"/>
        <v>6946</v>
      </c>
      <c r="F1452" s="16">
        <f ca="1" t="shared" si="139"/>
        <v>0</v>
      </c>
      <c r="G1452" s="16">
        <f ca="1" t="shared" si="138"/>
        <v>0</v>
      </c>
    </row>
    <row r="1453" spans="2:7">
      <c r="B1453" s="17" t="str">
        <f t="shared" si="137"/>
        <v>5/2029</v>
      </c>
      <c r="C1453" s="18">
        <f t="shared" si="140"/>
        <v>47244</v>
      </c>
      <c r="D1453" s="18" t="str">
        <f t="shared" si="141"/>
        <v>06/05/2029 a 12/05/2029</v>
      </c>
      <c r="E1453" s="16">
        <f t="shared" si="136"/>
        <v>6948</v>
      </c>
      <c r="F1453" s="16">
        <f ca="1" t="shared" si="139"/>
        <v>0</v>
      </c>
      <c r="G1453" s="16">
        <f ca="1" t="shared" si="138"/>
        <v>0</v>
      </c>
    </row>
    <row r="1454" spans="2:7">
      <c r="B1454" s="17" t="str">
        <f t="shared" si="137"/>
        <v>5/2029</v>
      </c>
      <c r="C1454" s="18">
        <f t="shared" si="140"/>
        <v>47244</v>
      </c>
      <c r="D1454" s="18" t="str">
        <f t="shared" si="141"/>
        <v>06/05/2029 a 12/05/2029</v>
      </c>
      <c r="E1454" s="16">
        <f t="shared" si="136"/>
        <v>6950</v>
      </c>
      <c r="F1454" s="16">
        <f ca="1" t="shared" si="139"/>
        <v>0</v>
      </c>
      <c r="G1454" s="16">
        <f ca="1" t="shared" si="138"/>
        <v>0</v>
      </c>
    </row>
    <row r="1455" spans="2:7">
      <c r="B1455" s="17" t="str">
        <f t="shared" si="137"/>
        <v>5/2029</v>
      </c>
      <c r="C1455" s="18">
        <f t="shared" si="140"/>
        <v>47251</v>
      </c>
      <c r="D1455" s="18" t="str">
        <f t="shared" si="141"/>
        <v>13/05/2029 a 19/05/2029</v>
      </c>
      <c r="E1455" s="16">
        <f>E1450+24</f>
        <v>6966</v>
      </c>
      <c r="F1455" s="16">
        <f ca="1" t="shared" si="139"/>
        <v>0</v>
      </c>
      <c r="G1455" s="16">
        <f ca="1" t="shared" si="138"/>
        <v>0</v>
      </c>
    </row>
    <row r="1456" spans="2:7">
      <c r="B1456" s="17" t="str">
        <f t="shared" si="137"/>
        <v>5/2029</v>
      </c>
      <c r="C1456" s="18">
        <f t="shared" si="140"/>
        <v>47251</v>
      </c>
      <c r="D1456" s="18" t="str">
        <f t="shared" si="141"/>
        <v>13/05/2029 a 19/05/2029</v>
      </c>
      <c r="E1456" s="16">
        <f t="shared" ref="E1456:E1519" si="142">E1455+2</f>
        <v>6968</v>
      </c>
      <c r="F1456" s="16">
        <f ca="1" t="shared" si="139"/>
        <v>0</v>
      </c>
      <c r="G1456" s="16">
        <f ca="1" t="shared" si="138"/>
        <v>0</v>
      </c>
    </row>
    <row r="1457" spans="2:7">
      <c r="B1457" s="17" t="str">
        <f t="shared" si="137"/>
        <v>5/2029</v>
      </c>
      <c r="C1457" s="18">
        <f t="shared" si="140"/>
        <v>47251</v>
      </c>
      <c r="D1457" s="18" t="str">
        <f t="shared" si="141"/>
        <v>13/05/2029 a 19/05/2029</v>
      </c>
      <c r="E1457" s="16">
        <f t="shared" si="142"/>
        <v>6970</v>
      </c>
      <c r="F1457" s="16">
        <f ca="1" t="shared" si="139"/>
        <v>0</v>
      </c>
      <c r="G1457" s="16">
        <f ca="1" t="shared" si="138"/>
        <v>0</v>
      </c>
    </row>
    <row r="1458" spans="2:7">
      <c r="B1458" s="17" t="str">
        <f t="shared" si="137"/>
        <v>5/2029</v>
      </c>
      <c r="C1458" s="18">
        <f t="shared" si="140"/>
        <v>47251</v>
      </c>
      <c r="D1458" s="18" t="str">
        <f t="shared" si="141"/>
        <v>13/05/2029 a 19/05/2029</v>
      </c>
      <c r="E1458" s="16">
        <f t="shared" si="142"/>
        <v>6972</v>
      </c>
      <c r="F1458" s="16">
        <f ca="1" t="shared" si="139"/>
        <v>0</v>
      </c>
      <c r="G1458" s="16">
        <f ca="1" t="shared" si="138"/>
        <v>0</v>
      </c>
    </row>
    <row r="1459" spans="2:7">
      <c r="B1459" s="17" t="str">
        <f t="shared" si="137"/>
        <v>5/2029</v>
      </c>
      <c r="C1459" s="18">
        <f t="shared" si="140"/>
        <v>47251</v>
      </c>
      <c r="D1459" s="18" t="str">
        <f t="shared" si="141"/>
        <v>13/05/2029 a 19/05/2029</v>
      </c>
      <c r="E1459" s="16">
        <f t="shared" si="142"/>
        <v>6974</v>
      </c>
      <c r="F1459" s="16">
        <f ca="1" t="shared" si="139"/>
        <v>0</v>
      </c>
      <c r="G1459" s="16">
        <f ca="1" t="shared" si="138"/>
        <v>0</v>
      </c>
    </row>
    <row r="1460" spans="2:7">
      <c r="B1460" s="17" t="str">
        <f t="shared" si="137"/>
        <v>5/2029</v>
      </c>
      <c r="C1460" s="18">
        <f t="shared" si="140"/>
        <v>47258</v>
      </c>
      <c r="D1460" s="18" t="str">
        <f t="shared" si="141"/>
        <v>20/05/2029 a 26/05/2029</v>
      </c>
      <c r="E1460" s="16">
        <f>E1455+24</f>
        <v>6990</v>
      </c>
      <c r="F1460" s="16">
        <f ca="1" t="shared" si="139"/>
        <v>0</v>
      </c>
      <c r="G1460" s="16">
        <f ca="1" t="shared" si="138"/>
        <v>0</v>
      </c>
    </row>
    <row r="1461" spans="2:7">
      <c r="B1461" s="17" t="str">
        <f t="shared" si="137"/>
        <v>5/2029</v>
      </c>
      <c r="C1461" s="18">
        <f t="shared" si="140"/>
        <v>47258</v>
      </c>
      <c r="D1461" s="18" t="str">
        <f t="shared" si="141"/>
        <v>20/05/2029 a 26/05/2029</v>
      </c>
      <c r="E1461" s="16">
        <f t="shared" si="142"/>
        <v>6992</v>
      </c>
      <c r="F1461" s="16">
        <f ca="1" t="shared" si="139"/>
        <v>0</v>
      </c>
      <c r="G1461" s="16">
        <f ca="1" t="shared" si="138"/>
        <v>0</v>
      </c>
    </row>
    <row r="1462" spans="2:7">
      <c r="B1462" s="17" t="str">
        <f t="shared" si="137"/>
        <v>5/2029</v>
      </c>
      <c r="C1462" s="18">
        <f t="shared" si="140"/>
        <v>47258</v>
      </c>
      <c r="D1462" s="18" t="str">
        <f t="shared" si="141"/>
        <v>20/05/2029 a 26/05/2029</v>
      </c>
      <c r="E1462" s="16">
        <f t="shared" si="142"/>
        <v>6994</v>
      </c>
      <c r="F1462" s="16">
        <f ca="1" t="shared" si="139"/>
        <v>0</v>
      </c>
      <c r="G1462" s="16">
        <f ca="1" t="shared" si="138"/>
        <v>0</v>
      </c>
    </row>
    <row r="1463" spans="2:7">
      <c r="B1463" s="17" t="str">
        <f t="shared" si="137"/>
        <v>5/2029</v>
      </c>
      <c r="C1463" s="18">
        <f t="shared" si="140"/>
        <v>47258</v>
      </c>
      <c r="D1463" s="18" t="str">
        <f t="shared" si="141"/>
        <v>20/05/2029 a 26/05/2029</v>
      </c>
      <c r="E1463" s="16">
        <f t="shared" si="142"/>
        <v>6996</v>
      </c>
      <c r="F1463" s="16">
        <f ca="1" t="shared" si="139"/>
        <v>0</v>
      </c>
      <c r="G1463" s="16">
        <f ca="1" t="shared" si="138"/>
        <v>0</v>
      </c>
    </row>
    <row r="1464" spans="2:7">
      <c r="B1464" s="17" t="str">
        <f t="shared" si="137"/>
        <v>5/2029</v>
      </c>
      <c r="C1464" s="18">
        <f t="shared" si="140"/>
        <v>47258</v>
      </c>
      <c r="D1464" s="18" t="str">
        <f t="shared" si="141"/>
        <v>20/05/2029 a 26/05/2029</v>
      </c>
      <c r="E1464" s="16">
        <f t="shared" si="142"/>
        <v>6998</v>
      </c>
      <c r="F1464" s="16">
        <f ca="1" t="shared" si="139"/>
        <v>0</v>
      </c>
      <c r="G1464" s="16">
        <f ca="1" t="shared" si="138"/>
        <v>0</v>
      </c>
    </row>
    <row r="1465" spans="2:7">
      <c r="B1465" s="17" t="str">
        <f t="shared" ref="B1465:B1528" si="143">MONTH(C1465)&amp;"/"&amp;YEAR(C1465)</f>
        <v>5/2029</v>
      </c>
      <c r="C1465" s="18">
        <f t="shared" si="140"/>
        <v>47265</v>
      </c>
      <c r="D1465" s="18" t="str">
        <f t="shared" si="141"/>
        <v>27/05/2029 a 02/06/2029</v>
      </c>
      <c r="E1465" s="16">
        <f>E1460+24</f>
        <v>7014</v>
      </c>
      <c r="F1465" s="16">
        <f ca="1" t="shared" si="139"/>
        <v>0</v>
      </c>
      <c r="G1465" s="16">
        <f ca="1" t="shared" ref="G1465:G1528" si="144">INDIRECT("'Diário'!J"&amp;E1465)</f>
        <v>0</v>
      </c>
    </row>
    <row r="1466" spans="2:7">
      <c r="B1466" s="17" t="str">
        <f t="shared" si="143"/>
        <v>5/2029</v>
      </c>
      <c r="C1466" s="18">
        <f t="shared" si="140"/>
        <v>47265</v>
      </c>
      <c r="D1466" s="18" t="str">
        <f t="shared" si="141"/>
        <v>27/05/2029 a 02/06/2029</v>
      </c>
      <c r="E1466" s="16">
        <f t="shared" si="142"/>
        <v>7016</v>
      </c>
      <c r="F1466" s="16">
        <f ca="1" t="shared" si="139"/>
        <v>0</v>
      </c>
      <c r="G1466" s="16">
        <f ca="1" t="shared" si="144"/>
        <v>0</v>
      </c>
    </row>
    <row r="1467" spans="2:7">
      <c r="B1467" s="17" t="str">
        <f t="shared" si="143"/>
        <v>5/2029</v>
      </c>
      <c r="C1467" s="18">
        <f t="shared" si="140"/>
        <v>47265</v>
      </c>
      <c r="D1467" s="18" t="str">
        <f t="shared" si="141"/>
        <v>27/05/2029 a 02/06/2029</v>
      </c>
      <c r="E1467" s="16">
        <f t="shared" si="142"/>
        <v>7018</v>
      </c>
      <c r="F1467" s="16">
        <f ca="1" t="shared" si="139"/>
        <v>0</v>
      </c>
      <c r="G1467" s="16">
        <f ca="1" t="shared" si="144"/>
        <v>0</v>
      </c>
    </row>
    <row r="1468" spans="2:7">
      <c r="B1468" s="17" t="str">
        <f t="shared" si="143"/>
        <v>5/2029</v>
      </c>
      <c r="C1468" s="18">
        <f t="shared" si="140"/>
        <v>47265</v>
      </c>
      <c r="D1468" s="18" t="str">
        <f t="shared" si="141"/>
        <v>27/05/2029 a 02/06/2029</v>
      </c>
      <c r="E1468" s="16">
        <f t="shared" si="142"/>
        <v>7020</v>
      </c>
      <c r="F1468" s="16">
        <f ca="1" t="shared" si="139"/>
        <v>0</v>
      </c>
      <c r="G1468" s="16">
        <f ca="1" t="shared" si="144"/>
        <v>0</v>
      </c>
    </row>
    <row r="1469" spans="2:7">
      <c r="B1469" s="17" t="str">
        <f t="shared" si="143"/>
        <v>5/2029</v>
      </c>
      <c r="C1469" s="18">
        <f t="shared" si="140"/>
        <v>47265</v>
      </c>
      <c r="D1469" s="18" t="str">
        <f t="shared" si="141"/>
        <v>27/05/2029 a 02/06/2029</v>
      </c>
      <c r="E1469" s="16">
        <f t="shared" si="142"/>
        <v>7022</v>
      </c>
      <c r="F1469" s="16">
        <f ca="1" t="shared" si="139"/>
        <v>0</v>
      </c>
      <c r="G1469" s="16">
        <f ca="1" t="shared" si="144"/>
        <v>0</v>
      </c>
    </row>
    <row r="1470" spans="2:7">
      <c r="B1470" s="17" t="str">
        <f t="shared" si="143"/>
        <v>6/2029</v>
      </c>
      <c r="C1470" s="18">
        <f t="shared" si="140"/>
        <v>47272</v>
      </c>
      <c r="D1470" s="18" t="str">
        <f t="shared" si="141"/>
        <v>03/06/2029 a 09/06/2029</v>
      </c>
      <c r="E1470" s="16">
        <f>E1465+24</f>
        <v>7038</v>
      </c>
      <c r="F1470" s="16">
        <f ca="1" t="shared" ref="F1470:F1533" si="145">INDIRECT("Diário!I"&amp;E1470)</f>
        <v>0</v>
      </c>
      <c r="G1470" s="16">
        <f ca="1" t="shared" si="144"/>
        <v>0</v>
      </c>
    </row>
    <row r="1471" spans="2:7">
      <c r="B1471" s="17" t="str">
        <f t="shared" si="143"/>
        <v>6/2029</v>
      </c>
      <c r="C1471" s="18">
        <f t="shared" si="140"/>
        <v>47272</v>
      </c>
      <c r="D1471" s="18" t="str">
        <f t="shared" si="141"/>
        <v>03/06/2029 a 09/06/2029</v>
      </c>
      <c r="E1471" s="16">
        <f t="shared" si="142"/>
        <v>7040</v>
      </c>
      <c r="F1471" s="16">
        <f ca="1" t="shared" si="145"/>
        <v>0</v>
      </c>
      <c r="G1471" s="16">
        <f ca="1" t="shared" si="144"/>
        <v>0</v>
      </c>
    </row>
    <row r="1472" spans="2:7">
      <c r="B1472" s="17" t="str">
        <f t="shared" si="143"/>
        <v>6/2029</v>
      </c>
      <c r="C1472" s="18">
        <f t="shared" si="140"/>
        <v>47272</v>
      </c>
      <c r="D1472" s="18" t="str">
        <f t="shared" si="141"/>
        <v>03/06/2029 a 09/06/2029</v>
      </c>
      <c r="E1472" s="16">
        <f t="shared" si="142"/>
        <v>7042</v>
      </c>
      <c r="F1472" s="16">
        <f ca="1" t="shared" si="145"/>
        <v>0</v>
      </c>
      <c r="G1472" s="16">
        <f ca="1" t="shared" si="144"/>
        <v>0</v>
      </c>
    </row>
    <row r="1473" spans="2:7">
      <c r="B1473" s="17" t="str">
        <f t="shared" si="143"/>
        <v>6/2029</v>
      </c>
      <c r="C1473" s="18">
        <f t="shared" si="140"/>
        <v>47272</v>
      </c>
      <c r="D1473" s="18" t="str">
        <f t="shared" si="141"/>
        <v>03/06/2029 a 09/06/2029</v>
      </c>
      <c r="E1473" s="16">
        <f t="shared" si="142"/>
        <v>7044</v>
      </c>
      <c r="F1473" s="16">
        <f ca="1" t="shared" si="145"/>
        <v>0</v>
      </c>
      <c r="G1473" s="16">
        <f ca="1" t="shared" si="144"/>
        <v>0</v>
      </c>
    </row>
    <row r="1474" spans="2:7">
      <c r="B1474" s="17" t="str">
        <f t="shared" si="143"/>
        <v>6/2029</v>
      </c>
      <c r="C1474" s="18">
        <f t="shared" si="140"/>
        <v>47272</v>
      </c>
      <c r="D1474" s="18" t="str">
        <f t="shared" si="141"/>
        <v>03/06/2029 a 09/06/2029</v>
      </c>
      <c r="E1474" s="16">
        <f t="shared" si="142"/>
        <v>7046</v>
      </c>
      <c r="F1474" s="16">
        <f ca="1" t="shared" si="145"/>
        <v>0</v>
      </c>
      <c r="G1474" s="16">
        <f ca="1" t="shared" si="144"/>
        <v>0</v>
      </c>
    </row>
    <row r="1475" spans="2:7">
      <c r="B1475" s="17" t="str">
        <f t="shared" si="143"/>
        <v>6/2029</v>
      </c>
      <c r="C1475" s="18">
        <f t="shared" si="140"/>
        <v>47279</v>
      </c>
      <c r="D1475" s="18" t="str">
        <f t="shared" si="141"/>
        <v>10/06/2029 a 16/06/2029</v>
      </c>
      <c r="E1475" s="16">
        <f>E1470+24</f>
        <v>7062</v>
      </c>
      <c r="F1475" s="16">
        <f ca="1" t="shared" si="145"/>
        <v>0</v>
      </c>
      <c r="G1475" s="16">
        <f ca="1" t="shared" si="144"/>
        <v>0</v>
      </c>
    </row>
    <row r="1476" spans="2:7">
      <c r="B1476" s="17" t="str">
        <f t="shared" si="143"/>
        <v>6/2029</v>
      </c>
      <c r="C1476" s="18">
        <f t="shared" si="140"/>
        <v>47279</v>
      </c>
      <c r="D1476" s="18" t="str">
        <f t="shared" si="141"/>
        <v>10/06/2029 a 16/06/2029</v>
      </c>
      <c r="E1476" s="16">
        <f t="shared" si="142"/>
        <v>7064</v>
      </c>
      <c r="F1476" s="16">
        <f ca="1" t="shared" si="145"/>
        <v>0</v>
      </c>
      <c r="G1476" s="16">
        <f ca="1" t="shared" si="144"/>
        <v>0</v>
      </c>
    </row>
    <row r="1477" spans="2:7">
      <c r="B1477" s="17" t="str">
        <f t="shared" si="143"/>
        <v>6/2029</v>
      </c>
      <c r="C1477" s="18">
        <f t="shared" si="140"/>
        <v>47279</v>
      </c>
      <c r="D1477" s="18" t="str">
        <f t="shared" si="141"/>
        <v>10/06/2029 a 16/06/2029</v>
      </c>
      <c r="E1477" s="16">
        <f t="shared" si="142"/>
        <v>7066</v>
      </c>
      <c r="F1477" s="16">
        <f ca="1" t="shared" si="145"/>
        <v>0</v>
      </c>
      <c r="G1477" s="16">
        <f ca="1" t="shared" si="144"/>
        <v>0</v>
      </c>
    </row>
    <row r="1478" spans="2:7">
      <c r="B1478" s="17" t="str">
        <f t="shared" si="143"/>
        <v>6/2029</v>
      </c>
      <c r="C1478" s="18">
        <f t="shared" si="140"/>
        <v>47279</v>
      </c>
      <c r="D1478" s="18" t="str">
        <f t="shared" si="141"/>
        <v>10/06/2029 a 16/06/2029</v>
      </c>
      <c r="E1478" s="16">
        <f t="shared" si="142"/>
        <v>7068</v>
      </c>
      <c r="F1478" s="16">
        <f ca="1" t="shared" si="145"/>
        <v>0</v>
      </c>
      <c r="G1478" s="16">
        <f ca="1" t="shared" si="144"/>
        <v>0</v>
      </c>
    </row>
    <row r="1479" spans="2:7">
      <c r="B1479" s="17" t="str">
        <f t="shared" si="143"/>
        <v>6/2029</v>
      </c>
      <c r="C1479" s="18">
        <f t="shared" si="140"/>
        <v>47279</v>
      </c>
      <c r="D1479" s="18" t="str">
        <f t="shared" si="141"/>
        <v>10/06/2029 a 16/06/2029</v>
      </c>
      <c r="E1479" s="16">
        <f t="shared" si="142"/>
        <v>7070</v>
      </c>
      <c r="F1479" s="16">
        <f ca="1" t="shared" si="145"/>
        <v>0</v>
      </c>
      <c r="G1479" s="16">
        <f ca="1" t="shared" si="144"/>
        <v>0</v>
      </c>
    </row>
    <row r="1480" spans="2:7">
      <c r="B1480" s="17" t="str">
        <f t="shared" si="143"/>
        <v>6/2029</v>
      </c>
      <c r="C1480" s="18">
        <f t="shared" si="140"/>
        <v>47286</v>
      </c>
      <c r="D1480" s="18" t="str">
        <f t="shared" si="141"/>
        <v>17/06/2029 a 23/06/2029</v>
      </c>
      <c r="E1480" s="16">
        <f>E1475+24</f>
        <v>7086</v>
      </c>
      <c r="F1480" s="16">
        <f ca="1" t="shared" si="145"/>
        <v>0</v>
      </c>
      <c r="G1480" s="16">
        <f ca="1" t="shared" si="144"/>
        <v>0</v>
      </c>
    </row>
    <row r="1481" spans="2:7">
      <c r="B1481" s="17" t="str">
        <f t="shared" si="143"/>
        <v>6/2029</v>
      </c>
      <c r="C1481" s="18">
        <f t="shared" si="140"/>
        <v>47286</v>
      </c>
      <c r="D1481" s="18" t="str">
        <f t="shared" si="141"/>
        <v>17/06/2029 a 23/06/2029</v>
      </c>
      <c r="E1481" s="16">
        <f t="shared" si="142"/>
        <v>7088</v>
      </c>
      <c r="F1481" s="16">
        <f ca="1" t="shared" si="145"/>
        <v>0</v>
      </c>
      <c r="G1481" s="16">
        <f ca="1" t="shared" si="144"/>
        <v>0</v>
      </c>
    </row>
    <row r="1482" spans="2:7">
      <c r="B1482" s="17" t="str">
        <f t="shared" si="143"/>
        <v>6/2029</v>
      </c>
      <c r="C1482" s="18">
        <f t="shared" si="140"/>
        <v>47286</v>
      </c>
      <c r="D1482" s="18" t="str">
        <f t="shared" si="141"/>
        <v>17/06/2029 a 23/06/2029</v>
      </c>
      <c r="E1482" s="16">
        <f t="shared" si="142"/>
        <v>7090</v>
      </c>
      <c r="F1482" s="16">
        <f ca="1" t="shared" si="145"/>
        <v>0</v>
      </c>
      <c r="G1482" s="16">
        <f ca="1" t="shared" si="144"/>
        <v>0</v>
      </c>
    </row>
    <row r="1483" spans="2:7">
      <c r="B1483" s="17" t="str">
        <f t="shared" si="143"/>
        <v>6/2029</v>
      </c>
      <c r="C1483" s="18">
        <f t="shared" si="140"/>
        <v>47286</v>
      </c>
      <c r="D1483" s="18" t="str">
        <f t="shared" si="141"/>
        <v>17/06/2029 a 23/06/2029</v>
      </c>
      <c r="E1483" s="16">
        <f t="shared" si="142"/>
        <v>7092</v>
      </c>
      <c r="F1483" s="16">
        <f ca="1" t="shared" si="145"/>
        <v>0</v>
      </c>
      <c r="G1483" s="16">
        <f ca="1" t="shared" si="144"/>
        <v>0</v>
      </c>
    </row>
    <row r="1484" spans="2:7">
      <c r="B1484" s="17" t="str">
        <f t="shared" si="143"/>
        <v>6/2029</v>
      </c>
      <c r="C1484" s="18">
        <f t="shared" si="140"/>
        <v>47286</v>
      </c>
      <c r="D1484" s="18" t="str">
        <f t="shared" si="141"/>
        <v>17/06/2029 a 23/06/2029</v>
      </c>
      <c r="E1484" s="16">
        <f t="shared" si="142"/>
        <v>7094</v>
      </c>
      <c r="F1484" s="16">
        <f ca="1" t="shared" si="145"/>
        <v>0</v>
      </c>
      <c r="G1484" s="16">
        <f ca="1" t="shared" si="144"/>
        <v>0</v>
      </c>
    </row>
    <row r="1485" spans="2:7">
      <c r="B1485" s="17" t="str">
        <f t="shared" si="143"/>
        <v>6/2029</v>
      </c>
      <c r="C1485" s="18">
        <f t="shared" si="140"/>
        <v>47293</v>
      </c>
      <c r="D1485" s="18" t="str">
        <f t="shared" si="141"/>
        <v>24/06/2029 a 30/06/2029</v>
      </c>
      <c r="E1485" s="16">
        <f>E1480+24</f>
        <v>7110</v>
      </c>
      <c r="F1485" s="16">
        <f ca="1" t="shared" si="145"/>
        <v>0</v>
      </c>
      <c r="G1485" s="16">
        <f ca="1" t="shared" si="144"/>
        <v>0</v>
      </c>
    </row>
    <row r="1486" spans="2:7">
      <c r="B1486" s="17" t="str">
        <f t="shared" si="143"/>
        <v>6/2029</v>
      </c>
      <c r="C1486" s="18">
        <f t="shared" si="140"/>
        <v>47293</v>
      </c>
      <c r="D1486" s="18" t="str">
        <f t="shared" si="141"/>
        <v>24/06/2029 a 30/06/2029</v>
      </c>
      <c r="E1486" s="16">
        <f t="shared" si="142"/>
        <v>7112</v>
      </c>
      <c r="F1486" s="16">
        <f ca="1" t="shared" si="145"/>
        <v>0</v>
      </c>
      <c r="G1486" s="16">
        <f ca="1" t="shared" si="144"/>
        <v>0</v>
      </c>
    </row>
    <row r="1487" spans="2:7">
      <c r="B1487" s="17" t="str">
        <f t="shared" si="143"/>
        <v>6/2029</v>
      </c>
      <c r="C1487" s="18">
        <f t="shared" si="140"/>
        <v>47293</v>
      </c>
      <c r="D1487" s="18" t="str">
        <f t="shared" si="141"/>
        <v>24/06/2029 a 30/06/2029</v>
      </c>
      <c r="E1487" s="16">
        <f t="shared" si="142"/>
        <v>7114</v>
      </c>
      <c r="F1487" s="16">
        <f ca="1" t="shared" si="145"/>
        <v>0</v>
      </c>
      <c r="G1487" s="16">
        <f ca="1" t="shared" si="144"/>
        <v>0</v>
      </c>
    </row>
    <row r="1488" spans="2:7">
      <c r="B1488" s="17" t="str">
        <f t="shared" si="143"/>
        <v>6/2029</v>
      </c>
      <c r="C1488" s="18">
        <f t="shared" si="140"/>
        <v>47293</v>
      </c>
      <c r="D1488" s="18" t="str">
        <f t="shared" si="141"/>
        <v>24/06/2029 a 30/06/2029</v>
      </c>
      <c r="E1488" s="16">
        <f t="shared" si="142"/>
        <v>7116</v>
      </c>
      <c r="F1488" s="16">
        <f ca="1" t="shared" si="145"/>
        <v>0</v>
      </c>
      <c r="G1488" s="16">
        <f ca="1" t="shared" si="144"/>
        <v>0</v>
      </c>
    </row>
    <row r="1489" spans="2:7">
      <c r="B1489" s="17" t="str">
        <f t="shared" si="143"/>
        <v>6/2029</v>
      </c>
      <c r="C1489" s="18">
        <f t="shared" si="140"/>
        <v>47293</v>
      </c>
      <c r="D1489" s="18" t="str">
        <f t="shared" si="141"/>
        <v>24/06/2029 a 30/06/2029</v>
      </c>
      <c r="E1489" s="16">
        <f t="shared" si="142"/>
        <v>7118</v>
      </c>
      <c r="F1489" s="16">
        <f ca="1" t="shared" si="145"/>
        <v>0</v>
      </c>
      <c r="G1489" s="16">
        <f ca="1" t="shared" si="144"/>
        <v>0</v>
      </c>
    </row>
    <row r="1490" spans="2:7">
      <c r="B1490" s="17" t="str">
        <f t="shared" si="143"/>
        <v>7/2029</v>
      </c>
      <c r="C1490" s="18">
        <f t="shared" ref="C1490:C1553" si="146">C1485+7</f>
        <v>47300</v>
      </c>
      <c r="D1490" s="18" t="str">
        <f t="shared" si="141"/>
        <v>01/07/2029 a 07/07/2029</v>
      </c>
      <c r="E1490" s="16">
        <f>E1485+24</f>
        <v>7134</v>
      </c>
      <c r="F1490" s="16">
        <f ca="1" t="shared" si="145"/>
        <v>0</v>
      </c>
      <c r="G1490" s="16">
        <f ca="1" t="shared" si="144"/>
        <v>0</v>
      </c>
    </row>
    <row r="1491" spans="2:7">
      <c r="B1491" s="17" t="str">
        <f t="shared" si="143"/>
        <v>7/2029</v>
      </c>
      <c r="C1491" s="18">
        <f t="shared" si="146"/>
        <v>47300</v>
      </c>
      <c r="D1491" s="18" t="str">
        <f t="shared" ref="D1491:D1554" si="147">TEXT((C1491),"DD/MM/AAAA")&amp;" a "&amp;TEXT((C1491+6),"DD/MM/AAAA")</f>
        <v>01/07/2029 a 07/07/2029</v>
      </c>
      <c r="E1491" s="16">
        <f t="shared" si="142"/>
        <v>7136</v>
      </c>
      <c r="F1491" s="16">
        <f ca="1" t="shared" si="145"/>
        <v>0</v>
      </c>
      <c r="G1491" s="16">
        <f ca="1" t="shared" si="144"/>
        <v>0</v>
      </c>
    </row>
    <row r="1492" spans="2:7">
      <c r="B1492" s="17" t="str">
        <f t="shared" si="143"/>
        <v>7/2029</v>
      </c>
      <c r="C1492" s="18">
        <f t="shared" si="146"/>
        <v>47300</v>
      </c>
      <c r="D1492" s="18" t="str">
        <f t="shared" si="147"/>
        <v>01/07/2029 a 07/07/2029</v>
      </c>
      <c r="E1492" s="16">
        <f t="shared" si="142"/>
        <v>7138</v>
      </c>
      <c r="F1492" s="16">
        <f ca="1" t="shared" si="145"/>
        <v>0</v>
      </c>
      <c r="G1492" s="16">
        <f ca="1" t="shared" si="144"/>
        <v>0</v>
      </c>
    </row>
    <row r="1493" spans="2:7">
      <c r="B1493" s="17" t="str">
        <f t="shared" si="143"/>
        <v>7/2029</v>
      </c>
      <c r="C1493" s="18">
        <f t="shared" si="146"/>
        <v>47300</v>
      </c>
      <c r="D1493" s="18" t="str">
        <f t="shared" si="147"/>
        <v>01/07/2029 a 07/07/2029</v>
      </c>
      <c r="E1493" s="16">
        <f t="shared" si="142"/>
        <v>7140</v>
      </c>
      <c r="F1493" s="16">
        <f ca="1" t="shared" si="145"/>
        <v>0</v>
      </c>
      <c r="G1493" s="16">
        <f ca="1" t="shared" si="144"/>
        <v>0</v>
      </c>
    </row>
    <row r="1494" spans="2:7">
      <c r="B1494" s="17" t="str">
        <f t="shared" si="143"/>
        <v>7/2029</v>
      </c>
      <c r="C1494" s="18">
        <f t="shared" si="146"/>
        <v>47300</v>
      </c>
      <c r="D1494" s="18" t="str">
        <f t="shared" si="147"/>
        <v>01/07/2029 a 07/07/2029</v>
      </c>
      <c r="E1494" s="16">
        <f t="shared" si="142"/>
        <v>7142</v>
      </c>
      <c r="F1494" s="16">
        <f ca="1" t="shared" si="145"/>
        <v>0</v>
      </c>
      <c r="G1494" s="16">
        <f ca="1" t="shared" si="144"/>
        <v>0</v>
      </c>
    </row>
    <row r="1495" spans="2:7">
      <c r="B1495" s="17" t="str">
        <f t="shared" si="143"/>
        <v>7/2029</v>
      </c>
      <c r="C1495" s="18">
        <f t="shared" si="146"/>
        <v>47307</v>
      </c>
      <c r="D1495" s="18" t="str">
        <f t="shared" si="147"/>
        <v>08/07/2029 a 14/07/2029</v>
      </c>
      <c r="E1495" s="16">
        <f>E1490+24</f>
        <v>7158</v>
      </c>
      <c r="F1495" s="16">
        <f ca="1" t="shared" si="145"/>
        <v>0</v>
      </c>
      <c r="G1495" s="16">
        <f ca="1" t="shared" si="144"/>
        <v>0</v>
      </c>
    </row>
    <row r="1496" spans="2:7">
      <c r="B1496" s="17" t="str">
        <f t="shared" si="143"/>
        <v>7/2029</v>
      </c>
      <c r="C1496" s="18">
        <f t="shared" si="146"/>
        <v>47307</v>
      </c>
      <c r="D1496" s="18" t="str">
        <f t="shared" si="147"/>
        <v>08/07/2029 a 14/07/2029</v>
      </c>
      <c r="E1496" s="16">
        <f t="shared" si="142"/>
        <v>7160</v>
      </c>
      <c r="F1496" s="16">
        <f ca="1" t="shared" si="145"/>
        <v>0</v>
      </c>
      <c r="G1496" s="16">
        <f ca="1" t="shared" si="144"/>
        <v>0</v>
      </c>
    </row>
    <row r="1497" spans="2:7">
      <c r="B1497" s="17" t="str">
        <f t="shared" si="143"/>
        <v>7/2029</v>
      </c>
      <c r="C1497" s="18">
        <f t="shared" si="146"/>
        <v>47307</v>
      </c>
      <c r="D1497" s="18" t="str">
        <f t="shared" si="147"/>
        <v>08/07/2029 a 14/07/2029</v>
      </c>
      <c r="E1497" s="16">
        <f t="shared" si="142"/>
        <v>7162</v>
      </c>
      <c r="F1497" s="16">
        <f ca="1" t="shared" si="145"/>
        <v>0</v>
      </c>
      <c r="G1497" s="16">
        <f ca="1" t="shared" si="144"/>
        <v>0</v>
      </c>
    </row>
    <row r="1498" spans="2:7">
      <c r="B1498" s="17" t="str">
        <f t="shared" si="143"/>
        <v>7/2029</v>
      </c>
      <c r="C1498" s="18">
        <f t="shared" si="146"/>
        <v>47307</v>
      </c>
      <c r="D1498" s="18" t="str">
        <f t="shared" si="147"/>
        <v>08/07/2029 a 14/07/2029</v>
      </c>
      <c r="E1498" s="16">
        <f t="shared" si="142"/>
        <v>7164</v>
      </c>
      <c r="F1498" s="16">
        <f ca="1" t="shared" si="145"/>
        <v>0</v>
      </c>
      <c r="G1498" s="16">
        <f ca="1" t="shared" si="144"/>
        <v>0</v>
      </c>
    </row>
    <row r="1499" spans="2:7">
      <c r="B1499" s="17" t="str">
        <f t="shared" si="143"/>
        <v>7/2029</v>
      </c>
      <c r="C1499" s="18">
        <f t="shared" si="146"/>
        <v>47307</v>
      </c>
      <c r="D1499" s="18" t="str">
        <f t="shared" si="147"/>
        <v>08/07/2029 a 14/07/2029</v>
      </c>
      <c r="E1499" s="16">
        <f t="shared" si="142"/>
        <v>7166</v>
      </c>
      <c r="F1499" s="16">
        <f ca="1" t="shared" si="145"/>
        <v>0</v>
      </c>
      <c r="G1499" s="16">
        <f ca="1" t="shared" si="144"/>
        <v>0</v>
      </c>
    </row>
    <row r="1500" spans="2:7">
      <c r="B1500" s="17" t="str">
        <f t="shared" si="143"/>
        <v>7/2029</v>
      </c>
      <c r="C1500" s="18">
        <f t="shared" si="146"/>
        <v>47314</v>
      </c>
      <c r="D1500" s="18" t="str">
        <f t="shared" si="147"/>
        <v>15/07/2029 a 21/07/2029</v>
      </c>
      <c r="E1500" s="16">
        <f>E1495+24</f>
        <v>7182</v>
      </c>
      <c r="F1500" s="16">
        <f ca="1" t="shared" si="145"/>
        <v>0</v>
      </c>
      <c r="G1500" s="16">
        <f ca="1" t="shared" si="144"/>
        <v>0</v>
      </c>
    </row>
    <row r="1501" spans="2:7">
      <c r="B1501" s="17" t="str">
        <f t="shared" si="143"/>
        <v>7/2029</v>
      </c>
      <c r="C1501" s="18">
        <f t="shared" si="146"/>
        <v>47314</v>
      </c>
      <c r="D1501" s="18" t="str">
        <f t="shared" si="147"/>
        <v>15/07/2029 a 21/07/2029</v>
      </c>
      <c r="E1501" s="16">
        <f t="shared" si="142"/>
        <v>7184</v>
      </c>
      <c r="F1501" s="16">
        <f ca="1" t="shared" si="145"/>
        <v>0</v>
      </c>
      <c r="G1501" s="16">
        <f ca="1" t="shared" si="144"/>
        <v>0</v>
      </c>
    </row>
    <row r="1502" spans="2:7">
      <c r="B1502" s="17" t="str">
        <f t="shared" si="143"/>
        <v>7/2029</v>
      </c>
      <c r="C1502" s="18">
        <f t="shared" si="146"/>
        <v>47314</v>
      </c>
      <c r="D1502" s="18" t="str">
        <f t="shared" si="147"/>
        <v>15/07/2029 a 21/07/2029</v>
      </c>
      <c r="E1502" s="16">
        <f t="shared" si="142"/>
        <v>7186</v>
      </c>
      <c r="F1502" s="16">
        <f ca="1" t="shared" si="145"/>
        <v>0</v>
      </c>
      <c r="G1502" s="16">
        <f ca="1" t="shared" si="144"/>
        <v>0</v>
      </c>
    </row>
    <row r="1503" spans="2:7">
      <c r="B1503" s="17" t="str">
        <f t="shared" si="143"/>
        <v>7/2029</v>
      </c>
      <c r="C1503" s="18">
        <f t="shared" si="146"/>
        <v>47314</v>
      </c>
      <c r="D1503" s="18" t="str">
        <f t="shared" si="147"/>
        <v>15/07/2029 a 21/07/2029</v>
      </c>
      <c r="E1503" s="16">
        <f t="shared" si="142"/>
        <v>7188</v>
      </c>
      <c r="F1503" s="16">
        <f ca="1" t="shared" si="145"/>
        <v>0</v>
      </c>
      <c r="G1503" s="16">
        <f ca="1" t="shared" si="144"/>
        <v>0</v>
      </c>
    </row>
    <row r="1504" spans="2:7">
      <c r="B1504" s="17" t="str">
        <f t="shared" si="143"/>
        <v>7/2029</v>
      </c>
      <c r="C1504" s="18">
        <f t="shared" si="146"/>
        <v>47314</v>
      </c>
      <c r="D1504" s="18" t="str">
        <f t="shared" si="147"/>
        <v>15/07/2029 a 21/07/2029</v>
      </c>
      <c r="E1504" s="16">
        <f t="shared" si="142"/>
        <v>7190</v>
      </c>
      <c r="F1504" s="16">
        <f ca="1" t="shared" si="145"/>
        <v>0</v>
      </c>
      <c r="G1504" s="16">
        <f ca="1" t="shared" si="144"/>
        <v>0</v>
      </c>
    </row>
    <row r="1505" spans="2:7">
      <c r="B1505" s="17" t="str">
        <f t="shared" si="143"/>
        <v>7/2029</v>
      </c>
      <c r="C1505" s="18">
        <f t="shared" si="146"/>
        <v>47321</v>
      </c>
      <c r="D1505" s="18" t="str">
        <f t="shared" si="147"/>
        <v>22/07/2029 a 28/07/2029</v>
      </c>
      <c r="E1505" s="16">
        <f>E1500+24</f>
        <v>7206</v>
      </c>
      <c r="F1505" s="16">
        <f ca="1" t="shared" si="145"/>
        <v>0</v>
      </c>
      <c r="G1505" s="16">
        <f ca="1" t="shared" si="144"/>
        <v>0</v>
      </c>
    </row>
    <row r="1506" spans="2:7">
      <c r="B1506" s="17" t="str">
        <f t="shared" si="143"/>
        <v>7/2029</v>
      </c>
      <c r="C1506" s="18">
        <f t="shared" si="146"/>
        <v>47321</v>
      </c>
      <c r="D1506" s="18" t="str">
        <f t="shared" si="147"/>
        <v>22/07/2029 a 28/07/2029</v>
      </c>
      <c r="E1506" s="16">
        <f t="shared" si="142"/>
        <v>7208</v>
      </c>
      <c r="F1506" s="16">
        <f ca="1" t="shared" si="145"/>
        <v>0</v>
      </c>
      <c r="G1506" s="16">
        <f ca="1" t="shared" si="144"/>
        <v>0</v>
      </c>
    </row>
    <row r="1507" spans="2:7">
      <c r="B1507" s="17" t="str">
        <f t="shared" si="143"/>
        <v>7/2029</v>
      </c>
      <c r="C1507" s="18">
        <f t="shared" si="146"/>
        <v>47321</v>
      </c>
      <c r="D1507" s="18" t="str">
        <f t="shared" si="147"/>
        <v>22/07/2029 a 28/07/2029</v>
      </c>
      <c r="E1507" s="16">
        <f t="shared" si="142"/>
        <v>7210</v>
      </c>
      <c r="F1507" s="16">
        <f ca="1" t="shared" si="145"/>
        <v>0</v>
      </c>
      <c r="G1507" s="16">
        <f ca="1" t="shared" si="144"/>
        <v>0</v>
      </c>
    </row>
    <row r="1508" spans="2:7">
      <c r="B1508" s="17" t="str">
        <f t="shared" si="143"/>
        <v>7/2029</v>
      </c>
      <c r="C1508" s="18">
        <f t="shared" si="146"/>
        <v>47321</v>
      </c>
      <c r="D1508" s="18" t="str">
        <f t="shared" si="147"/>
        <v>22/07/2029 a 28/07/2029</v>
      </c>
      <c r="E1508" s="16">
        <f t="shared" si="142"/>
        <v>7212</v>
      </c>
      <c r="F1508" s="16">
        <f ca="1" t="shared" si="145"/>
        <v>0</v>
      </c>
      <c r="G1508" s="16">
        <f ca="1" t="shared" si="144"/>
        <v>0</v>
      </c>
    </row>
    <row r="1509" spans="2:7">
      <c r="B1509" s="17" t="str">
        <f t="shared" si="143"/>
        <v>7/2029</v>
      </c>
      <c r="C1509" s="18">
        <f t="shared" si="146"/>
        <v>47321</v>
      </c>
      <c r="D1509" s="18" t="str">
        <f t="shared" si="147"/>
        <v>22/07/2029 a 28/07/2029</v>
      </c>
      <c r="E1509" s="16">
        <f t="shared" si="142"/>
        <v>7214</v>
      </c>
      <c r="F1509" s="16">
        <f ca="1" t="shared" si="145"/>
        <v>0</v>
      </c>
      <c r="G1509" s="16">
        <f ca="1" t="shared" si="144"/>
        <v>0</v>
      </c>
    </row>
    <row r="1510" spans="2:7">
      <c r="B1510" s="17" t="str">
        <f t="shared" si="143"/>
        <v>7/2029</v>
      </c>
      <c r="C1510" s="18">
        <f t="shared" si="146"/>
        <v>47328</v>
      </c>
      <c r="D1510" s="18" t="str">
        <f t="shared" si="147"/>
        <v>29/07/2029 a 04/08/2029</v>
      </c>
      <c r="E1510" s="16">
        <f>E1505+24</f>
        <v>7230</v>
      </c>
      <c r="F1510" s="16">
        <f ca="1" t="shared" si="145"/>
        <v>0</v>
      </c>
      <c r="G1510" s="16">
        <f ca="1" t="shared" si="144"/>
        <v>0</v>
      </c>
    </row>
    <row r="1511" spans="2:7">
      <c r="B1511" s="17" t="str">
        <f t="shared" si="143"/>
        <v>7/2029</v>
      </c>
      <c r="C1511" s="18">
        <f t="shared" si="146"/>
        <v>47328</v>
      </c>
      <c r="D1511" s="18" t="str">
        <f t="shared" si="147"/>
        <v>29/07/2029 a 04/08/2029</v>
      </c>
      <c r="E1511" s="16">
        <f t="shared" si="142"/>
        <v>7232</v>
      </c>
      <c r="F1511" s="16">
        <f ca="1" t="shared" si="145"/>
        <v>0</v>
      </c>
      <c r="G1511" s="16">
        <f ca="1" t="shared" si="144"/>
        <v>0</v>
      </c>
    </row>
    <row r="1512" spans="2:7">
      <c r="B1512" s="17" t="str">
        <f t="shared" si="143"/>
        <v>7/2029</v>
      </c>
      <c r="C1512" s="18">
        <f t="shared" si="146"/>
        <v>47328</v>
      </c>
      <c r="D1512" s="18" t="str">
        <f t="shared" si="147"/>
        <v>29/07/2029 a 04/08/2029</v>
      </c>
      <c r="E1512" s="16">
        <f t="shared" si="142"/>
        <v>7234</v>
      </c>
      <c r="F1512" s="16">
        <f ca="1" t="shared" si="145"/>
        <v>0</v>
      </c>
      <c r="G1512" s="16">
        <f ca="1" t="shared" si="144"/>
        <v>0</v>
      </c>
    </row>
    <row r="1513" spans="2:7">
      <c r="B1513" s="17" t="str">
        <f t="shared" si="143"/>
        <v>7/2029</v>
      </c>
      <c r="C1513" s="18">
        <f t="shared" si="146"/>
        <v>47328</v>
      </c>
      <c r="D1513" s="18" t="str">
        <f t="shared" si="147"/>
        <v>29/07/2029 a 04/08/2029</v>
      </c>
      <c r="E1513" s="16">
        <f t="shared" si="142"/>
        <v>7236</v>
      </c>
      <c r="F1513" s="16">
        <f ca="1" t="shared" si="145"/>
        <v>0</v>
      </c>
      <c r="G1513" s="16">
        <f ca="1" t="shared" si="144"/>
        <v>0</v>
      </c>
    </row>
    <row r="1514" spans="2:7">
      <c r="B1514" s="17" t="str">
        <f t="shared" si="143"/>
        <v>7/2029</v>
      </c>
      <c r="C1514" s="18">
        <f t="shared" si="146"/>
        <v>47328</v>
      </c>
      <c r="D1514" s="18" t="str">
        <f t="shared" si="147"/>
        <v>29/07/2029 a 04/08/2029</v>
      </c>
      <c r="E1514" s="16">
        <f t="shared" si="142"/>
        <v>7238</v>
      </c>
      <c r="F1514" s="16">
        <f ca="1" t="shared" si="145"/>
        <v>0</v>
      </c>
      <c r="G1514" s="16">
        <f ca="1" t="shared" si="144"/>
        <v>0</v>
      </c>
    </row>
    <row r="1515" spans="2:7">
      <c r="B1515" s="17" t="str">
        <f t="shared" si="143"/>
        <v>8/2029</v>
      </c>
      <c r="C1515" s="18">
        <f t="shared" si="146"/>
        <v>47335</v>
      </c>
      <c r="D1515" s="18" t="str">
        <f t="shared" si="147"/>
        <v>05/08/2029 a 11/08/2029</v>
      </c>
      <c r="E1515" s="16">
        <f>E1510+24</f>
        <v>7254</v>
      </c>
      <c r="F1515" s="16">
        <f ca="1" t="shared" si="145"/>
        <v>0</v>
      </c>
      <c r="G1515" s="16">
        <f ca="1" t="shared" si="144"/>
        <v>0</v>
      </c>
    </row>
    <row r="1516" spans="2:7">
      <c r="B1516" s="17" t="str">
        <f t="shared" si="143"/>
        <v>8/2029</v>
      </c>
      <c r="C1516" s="18">
        <f t="shared" si="146"/>
        <v>47335</v>
      </c>
      <c r="D1516" s="18" t="str">
        <f t="shared" si="147"/>
        <v>05/08/2029 a 11/08/2029</v>
      </c>
      <c r="E1516" s="16">
        <f t="shared" si="142"/>
        <v>7256</v>
      </c>
      <c r="F1516" s="16">
        <f ca="1" t="shared" si="145"/>
        <v>0</v>
      </c>
      <c r="G1516" s="16">
        <f ca="1" t="shared" si="144"/>
        <v>0</v>
      </c>
    </row>
    <row r="1517" spans="2:7">
      <c r="B1517" s="17" t="str">
        <f t="shared" si="143"/>
        <v>8/2029</v>
      </c>
      <c r="C1517" s="18">
        <f t="shared" si="146"/>
        <v>47335</v>
      </c>
      <c r="D1517" s="18" t="str">
        <f t="shared" si="147"/>
        <v>05/08/2029 a 11/08/2029</v>
      </c>
      <c r="E1517" s="16">
        <f t="shared" si="142"/>
        <v>7258</v>
      </c>
      <c r="F1517" s="16">
        <f ca="1" t="shared" si="145"/>
        <v>0</v>
      </c>
      <c r="G1517" s="16">
        <f ca="1" t="shared" si="144"/>
        <v>0</v>
      </c>
    </row>
    <row r="1518" spans="2:7">
      <c r="B1518" s="17" t="str">
        <f t="shared" si="143"/>
        <v>8/2029</v>
      </c>
      <c r="C1518" s="18">
        <f t="shared" si="146"/>
        <v>47335</v>
      </c>
      <c r="D1518" s="18" t="str">
        <f t="shared" si="147"/>
        <v>05/08/2029 a 11/08/2029</v>
      </c>
      <c r="E1518" s="16">
        <f t="shared" si="142"/>
        <v>7260</v>
      </c>
      <c r="F1518" s="16">
        <f ca="1" t="shared" si="145"/>
        <v>0</v>
      </c>
      <c r="G1518" s="16">
        <f ca="1" t="shared" si="144"/>
        <v>0</v>
      </c>
    </row>
    <row r="1519" spans="2:7">
      <c r="B1519" s="17" t="str">
        <f t="shared" si="143"/>
        <v>8/2029</v>
      </c>
      <c r="C1519" s="18">
        <f t="shared" si="146"/>
        <v>47335</v>
      </c>
      <c r="D1519" s="18" t="str">
        <f t="shared" si="147"/>
        <v>05/08/2029 a 11/08/2029</v>
      </c>
      <c r="E1519" s="16">
        <f t="shared" si="142"/>
        <v>7262</v>
      </c>
      <c r="F1519" s="16">
        <f ca="1" t="shared" si="145"/>
        <v>0</v>
      </c>
      <c r="G1519" s="16">
        <f ca="1" t="shared" si="144"/>
        <v>0</v>
      </c>
    </row>
    <row r="1520" spans="2:7">
      <c r="B1520" s="17" t="str">
        <f t="shared" si="143"/>
        <v>8/2029</v>
      </c>
      <c r="C1520" s="18">
        <f t="shared" si="146"/>
        <v>47342</v>
      </c>
      <c r="D1520" s="18" t="str">
        <f t="shared" si="147"/>
        <v>12/08/2029 a 18/08/2029</v>
      </c>
      <c r="E1520" s="16">
        <f>E1515+24</f>
        <v>7278</v>
      </c>
      <c r="F1520" s="16">
        <f ca="1" t="shared" si="145"/>
        <v>0</v>
      </c>
      <c r="G1520" s="16">
        <f ca="1" t="shared" si="144"/>
        <v>0</v>
      </c>
    </row>
    <row r="1521" spans="2:7">
      <c r="B1521" s="17" t="str">
        <f t="shared" si="143"/>
        <v>8/2029</v>
      </c>
      <c r="C1521" s="18">
        <f t="shared" si="146"/>
        <v>47342</v>
      </c>
      <c r="D1521" s="18" t="str">
        <f t="shared" si="147"/>
        <v>12/08/2029 a 18/08/2029</v>
      </c>
      <c r="E1521" s="16">
        <f t="shared" ref="E1521:E1584" si="148">E1520+2</f>
        <v>7280</v>
      </c>
      <c r="F1521" s="16">
        <f ca="1" t="shared" si="145"/>
        <v>0</v>
      </c>
      <c r="G1521" s="16">
        <f ca="1" t="shared" si="144"/>
        <v>0</v>
      </c>
    </row>
    <row r="1522" spans="2:7">
      <c r="B1522" s="17" t="str">
        <f t="shared" si="143"/>
        <v>8/2029</v>
      </c>
      <c r="C1522" s="18">
        <f t="shared" si="146"/>
        <v>47342</v>
      </c>
      <c r="D1522" s="18" t="str">
        <f t="shared" si="147"/>
        <v>12/08/2029 a 18/08/2029</v>
      </c>
      <c r="E1522" s="16">
        <f t="shared" si="148"/>
        <v>7282</v>
      </c>
      <c r="F1522" s="16">
        <f ca="1" t="shared" si="145"/>
        <v>0</v>
      </c>
      <c r="G1522" s="16">
        <f ca="1" t="shared" si="144"/>
        <v>0</v>
      </c>
    </row>
    <row r="1523" spans="2:7">
      <c r="B1523" s="17" t="str">
        <f t="shared" si="143"/>
        <v>8/2029</v>
      </c>
      <c r="C1523" s="18">
        <f t="shared" si="146"/>
        <v>47342</v>
      </c>
      <c r="D1523" s="18" t="str">
        <f t="shared" si="147"/>
        <v>12/08/2029 a 18/08/2029</v>
      </c>
      <c r="E1523" s="16">
        <f t="shared" si="148"/>
        <v>7284</v>
      </c>
      <c r="F1523" s="16">
        <f ca="1" t="shared" si="145"/>
        <v>0</v>
      </c>
      <c r="G1523" s="16">
        <f ca="1" t="shared" si="144"/>
        <v>0</v>
      </c>
    </row>
    <row r="1524" spans="2:7">
      <c r="B1524" s="17" t="str">
        <f t="shared" si="143"/>
        <v>8/2029</v>
      </c>
      <c r="C1524" s="18">
        <f t="shared" si="146"/>
        <v>47342</v>
      </c>
      <c r="D1524" s="18" t="str">
        <f t="shared" si="147"/>
        <v>12/08/2029 a 18/08/2029</v>
      </c>
      <c r="E1524" s="16">
        <f t="shared" si="148"/>
        <v>7286</v>
      </c>
      <c r="F1524" s="16">
        <f ca="1" t="shared" si="145"/>
        <v>0</v>
      </c>
      <c r="G1524" s="16">
        <f ca="1" t="shared" si="144"/>
        <v>0</v>
      </c>
    </row>
    <row r="1525" spans="2:7">
      <c r="B1525" s="17" t="str">
        <f t="shared" si="143"/>
        <v>8/2029</v>
      </c>
      <c r="C1525" s="18">
        <f t="shared" si="146"/>
        <v>47349</v>
      </c>
      <c r="D1525" s="18" t="str">
        <f t="shared" si="147"/>
        <v>19/08/2029 a 25/08/2029</v>
      </c>
      <c r="E1525" s="16">
        <f>E1520+24</f>
        <v>7302</v>
      </c>
      <c r="F1525" s="16">
        <f ca="1" t="shared" si="145"/>
        <v>0</v>
      </c>
      <c r="G1525" s="16">
        <f ca="1" t="shared" si="144"/>
        <v>0</v>
      </c>
    </row>
    <row r="1526" spans="2:7">
      <c r="B1526" s="17" t="str">
        <f t="shared" si="143"/>
        <v>8/2029</v>
      </c>
      <c r="C1526" s="18">
        <f t="shared" si="146"/>
        <v>47349</v>
      </c>
      <c r="D1526" s="18" t="str">
        <f t="shared" si="147"/>
        <v>19/08/2029 a 25/08/2029</v>
      </c>
      <c r="E1526" s="16">
        <f t="shared" si="148"/>
        <v>7304</v>
      </c>
      <c r="F1526" s="16">
        <f ca="1" t="shared" si="145"/>
        <v>0</v>
      </c>
      <c r="G1526" s="16">
        <f ca="1" t="shared" si="144"/>
        <v>0</v>
      </c>
    </row>
    <row r="1527" spans="2:7">
      <c r="B1527" s="17" t="str">
        <f t="shared" si="143"/>
        <v>8/2029</v>
      </c>
      <c r="C1527" s="18">
        <f t="shared" si="146"/>
        <v>47349</v>
      </c>
      <c r="D1527" s="18" t="str">
        <f t="shared" si="147"/>
        <v>19/08/2029 a 25/08/2029</v>
      </c>
      <c r="E1527" s="16">
        <f t="shared" si="148"/>
        <v>7306</v>
      </c>
      <c r="F1527" s="16">
        <f ca="1" t="shared" si="145"/>
        <v>0</v>
      </c>
      <c r="G1527" s="16">
        <f ca="1" t="shared" si="144"/>
        <v>0</v>
      </c>
    </row>
    <row r="1528" spans="2:7">
      <c r="B1528" s="17" t="str">
        <f t="shared" si="143"/>
        <v>8/2029</v>
      </c>
      <c r="C1528" s="18">
        <f t="shared" si="146"/>
        <v>47349</v>
      </c>
      <c r="D1528" s="18" t="str">
        <f t="shared" si="147"/>
        <v>19/08/2029 a 25/08/2029</v>
      </c>
      <c r="E1528" s="16">
        <f t="shared" si="148"/>
        <v>7308</v>
      </c>
      <c r="F1528" s="16">
        <f ca="1" t="shared" si="145"/>
        <v>0</v>
      </c>
      <c r="G1528" s="16">
        <f ca="1" t="shared" si="144"/>
        <v>0</v>
      </c>
    </row>
    <row r="1529" spans="2:7">
      <c r="B1529" s="17" t="str">
        <f t="shared" ref="B1529:B1592" si="149">MONTH(C1529)&amp;"/"&amp;YEAR(C1529)</f>
        <v>8/2029</v>
      </c>
      <c r="C1529" s="18">
        <f t="shared" si="146"/>
        <v>47349</v>
      </c>
      <c r="D1529" s="18" t="str">
        <f t="shared" si="147"/>
        <v>19/08/2029 a 25/08/2029</v>
      </c>
      <c r="E1529" s="16">
        <f t="shared" si="148"/>
        <v>7310</v>
      </c>
      <c r="F1529" s="16">
        <f ca="1" t="shared" si="145"/>
        <v>0</v>
      </c>
      <c r="G1529" s="16">
        <f ca="1" t="shared" ref="G1529:G1592" si="150">INDIRECT("'Diário'!J"&amp;E1529)</f>
        <v>0</v>
      </c>
    </row>
    <row r="1530" spans="2:7">
      <c r="B1530" s="17" t="str">
        <f t="shared" si="149"/>
        <v>8/2029</v>
      </c>
      <c r="C1530" s="18">
        <f t="shared" si="146"/>
        <v>47356</v>
      </c>
      <c r="D1530" s="18" t="str">
        <f t="shared" si="147"/>
        <v>26/08/2029 a 01/09/2029</v>
      </c>
      <c r="E1530" s="16">
        <f>E1525+24</f>
        <v>7326</v>
      </c>
      <c r="F1530" s="16">
        <f ca="1" t="shared" si="145"/>
        <v>0</v>
      </c>
      <c r="G1530" s="16">
        <f ca="1" t="shared" si="150"/>
        <v>0</v>
      </c>
    </row>
    <row r="1531" spans="2:7">
      <c r="B1531" s="17" t="str">
        <f t="shared" si="149"/>
        <v>8/2029</v>
      </c>
      <c r="C1531" s="18">
        <f t="shared" si="146"/>
        <v>47356</v>
      </c>
      <c r="D1531" s="18" t="str">
        <f t="shared" si="147"/>
        <v>26/08/2029 a 01/09/2029</v>
      </c>
      <c r="E1531" s="16">
        <f t="shared" si="148"/>
        <v>7328</v>
      </c>
      <c r="F1531" s="16">
        <f ca="1" t="shared" si="145"/>
        <v>0</v>
      </c>
      <c r="G1531" s="16">
        <f ca="1" t="shared" si="150"/>
        <v>0</v>
      </c>
    </row>
    <row r="1532" spans="2:7">
      <c r="B1532" s="17" t="str">
        <f t="shared" si="149"/>
        <v>8/2029</v>
      </c>
      <c r="C1532" s="18">
        <f t="shared" si="146"/>
        <v>47356</v>
      </c>
      <c r="D1532" s="18" t="str">
        <f t="shared" si="147"/>
        <v>26/08/2029 a 01/09/2029</v>
      </c>
      <c r="E1532" s="16">
        <f t="shared" si="148"/>
        <v>7330</v>
      </c>
      <c r="F1532" s="16">
        <f ca="1" t="shared" si="145"/>
        <v>0</v>
      </c>
      <c r="G1532" s="16">
        <f ca="1" t="shared" si="150"/>
        <v>0</v>
      </c>
    </row>
    <row r="1533" spans="2:7">
      <c r="B1533" s="17" t="str">
        <f t="shared" si="149"/>
        <v>8/2029</v>
      </c>
      <c r="C1533" s="18">
        <f t="shared" si="146"/>
        <v>47356</v>
      </c>
      <c r="D1533" s="18" t="str">
        <f t="shared" si="147"/>
        <v>26/08/2029 a 01/09/2029</v>
      </c>
      <c r="E1533" s="16">
        <f t="shared" si="148"/>
        <v>7332</v>
      </c>
      <c r="F1533" s="16">
        <f ca="1" t="shared" si="145"/>
        <v>0</v>
      </c>
      <c r="G1533" s="16">
        <f ca="1" t="shared" si="150"/>
        <v>0</v>
      </c>
    </row>
    <row r="1534" spans="2:7">
      <c r="B1534" s="17" t="str">
        <f t="shared" si="149"/>
        <v>8/2029</v>
      </c>
      <c r="C1534" s="18">
        <f t="shared" si="146"/>
        <v>47356</v>
      </c>
      <c r="D1534" s="18" t="str">
        <f t="shared" si="147"/>
        <v>26/08/2029 a 01/09/2029</v>
      </c>
      <c r="E1534" s="16">
        <f t="shared" si="148"/>
        <v>7334</v>
      </c>
      <c r="F1534" s="16">
        <f ca="1" t="shared" ref="F1534:F1597" si="151">INDIRECT("Diário!I"&amp;E1534)</f>
        <v>0</v>
      </c>
      <c r="G1534" s="16">
        <f ca="1" t="shared" si="150"/>
        <v>0</v>
      </c>
    </row>
    <row r="1535" spans="2:7">
      <c r="B1535" s="17" t="str">
        <f t="shared" si="149"/>
        <v>9/2029</v>
      </c>
      <c r="C1535" s="18">
        <f t="shared" si="146"/>
        <v>47363</v>
      </c>
      <c r="D1535" s="18" t="str">
        <f t="shared" si="147"/>
        <v>02/09/2029 a 08/09/2029</v>
      </c>
      <c r="E1535" s="16">
        <f>E1530+24</f>
        <v>7350</v>
      </c>
      <c r="F1535" s="16">
        <f ca="1" t="shared" si="151"/>
        <v>0</v>
      </c>
      <c r="G1535" s="16">
        <f ca="1" t="shared" si="150"/>
        <v>0</v>
      </c>
    </row>
    <row r="1536" spans="2:7">
      <c r="B1536" s="17" t="str">
        <f t="shared" si="149"/>
        <v>9/2029</v>
      </c>
      <c r="C1536" s="18">
        <f t="shared" si="146"/>
        <v>47363</v>
      </c>
      <c r="D1536" s="18" t="str">
        <f t="shared" si="147"/>
        <v>02/09/2029 a 08/09/2029</v>
      </c>
      <c r="E1536" s="16">
        <f t="shared" si="148"/>
        <v>7352</v>
      </c>
      <c r="F1536" s="16">
        <f ca="1" t="shared" si="151"/>
        <v>0</v>
      </c>
      <c r="G1536" s="16">
        <f ca="1" t="shared" si="150"/>
        <v>0</v>
      </c>
    </row>
    <row r="1537" spans="2:7">
      <c r="B1537" s="17" t="str">
        <f t="shared" si="149"/>
        <v>9/2029</v>
      </c>
      <c r="C1537" s="18">
        <f t="shared" si="146"/>
        <v>47363</v>
      </c>
      <c r="D1537" s="18" t="str">
        <f t="shared" si="147"/>
        <v>02/09/2029 a 08/09/2029</v>
      </c>
      <c r="E1537" s="16">
        <f t="shared" si="148"/>
        <v>7354</v>
      </c>
      <c r="F1537" s="16">
        <f ca="1" t="shared" si="151"/>
        <v>0</v>
      </c>
      <c r="G1537" s="16">
        <f ca="1" t="shared" si="150"/>
        <v>0</v>
      </c>
    </row>
    <row r="1538" spans="2:7">
      <c r="B1538" s="17" t="str">
        <f t="shared" si="149"/>
        <v>9/2029</v>
      </c>
      <c r="C1538" s="18">
        <f t="shared" si="146"/>
        <v>47363</v>
      </c>
      <c r="D1538" s="18" t="str">
        <f t="shared" si="147"/>
        <v>02/09/2029 a 08/09/2029</v>
      </c>
      <c r="E1538" s="16">
        <f t="shared" si="148"/>
        <v>7356</v>
      </c>
      <c r="F1538" s="16">
        <f ca="1" t="shared" si="151"/>
        <v>0</v>
      </c>
      <c r="G1538" s="16">
        <f ca="1" t="shared" si="150"/>
        <v>0</v>
      </c>
    </row>
    <row r="1539" spans="2:7">
      <c r="B1539" s="17" t="str">
        <f t="shared" si="149"/>
        <v>9/2029</v>
      </c>
      <c r="C1539" s="18">
        <f t="shared" si="146"/>
        <v>47363</v>
      </c>
      <c r="D1539" s="18" t="str">
        <f t="shared" si="147"/>
        <v>02/09/2029 a 08/09/2029</v>
      </c>
      <c r="E1539" s="16">
        <f t="shared" si="148"/>
        <v>7358</v>
      </c>
      <c r="F1539" s="16">
        <f ca="1" t="shared" si="151"/>
        <v>0</v>
      </c>
      <c r="G1539" s="16">
        <f ca="1" t="shared" si="150"/>
        <v>0</v>
      </c>
    </row>
    <row r="1540" spans="2:7">
      <c r="B1540" s="17" t="str">
        <f t="shared" si="149"/>
        <v>9/2029</v>
      </c>
      <c r="C1540" s="18">
        <f t="shared" si="146"/>
        <v>47370</v>
      </c>
      <c r="D1540" s="18" t="str">
        <f t="shared" si="147"/>
        <v>09/09/2029 a 15/09/2029</v>
      </c>
      <c r="E1540" s="16">
        <f>E1535+24</f>
        <v>7374</v>
      </c>
      <c r="F1540" s="16">
        <f ca="1" t="shared" si="151"/>
        <v>0</v>
      </c>
      <c r="G1540" s="16">
        <f ca="1" t="shared" si="150"/>
        <v>0</v>
      </c>
    </row>
    <row r="1541" spans="2:7">
      <c r="B1541" s="17" t="str">
        <f t="shared" si="149"/>
        <v>9/2029</v>
      </c>
      <c r="C1541" s="18">
        <f t="shared" si="146"/>
        <v>47370</v>
      </c>
      <c r="D1541" s="18" t="str">
        <f t="shared" si="147"/>
        <v>09/09/2029 a 15/09/2029</v>
      </c>
      <c r="E1541" s="16">
        <f t="shared" si="148"/>
        <v>7376</v>
      </c>
      <c r="F1541" s="16">
        <f ca="1" t="shared" si="151"/>
        <v>0</v>
      </c>
      <c r="G1541" s="16">
        <f ca="1" t="shared" si="150"/>
        <v>0</v>
      </c>
    </row>
    <row r="1542" spans="2:7">
      <c r="B1542" s="17" t="str">
        <f t="shared" si="149"/>
        <v>9/2029</v>
      </c>
      <c r="C1542" s="18">
        <f t="shared" si="146"/>
        <v>47370</v>
      </c>
      <c r="D1542" s="18" t="str">
        <f t="shared" si="147"/>
        <v>09/09/2029 a 15/09/2029</v>
      </c>
      <c r="E1542" s="16">
        <f t="shared" si="148"/>
        <v>7378</v>
      </c>
      <c r="F1542" s="16">
        <f ca="1" t="shared" si="151"/>
        <v>0</v>
      </c>
      <c r="G1542" s="16">
        <f ca="1" t="shared" si="150"/>
        <v>0</v>
      </c>
    </row>
    <row r="1543" spans="2:7">
      <c r="B1543" s="17" t="str">
        <f t="shared" si="149"/>
        <v>9/2029</v>
      </c>
      <c r="C1543" s="18">
        <f t="shared" si="146"/>
        <v>47370</v>
      </c>
      <c r="D1543" s="18" t="str">
        <f t="shared" si="147"/>
        <v>09/09/2029 a 15/09/2029</v>
      </c>
      <c r="E1543" s="16">
        <f t="shared" si="148"/>
        <v>7380</v>
      </c>
      <c r="F1543" s="16">
        <f ca="1" t="shared" si="151"/>
        <v>0</v>
      </c>
      <c r="G1543" s="16">
        <f ca="1" t="shared" si="150"/>
        <v>0</v>
      </c>
    </row>
    <row r="1544" spans="2:7">
      <c r="B1544" s="17" t="str">
        <f t="shared" si="149"/>
        <v>9/2029</v>
      </c>
      <c r="C1544" s="18">
        <f t="shared" si="146"/>
        <v>47370</v>
      </c>
      <c r="D1544" s="18" t="str">
        <f t="shared" si="147"/>
        <v>09/09/2029 a 15/09/2029</v>
      </c>
      <c r="E1544" s="16">
        <f t="shared" si="148"/>
        <v>7382</v>
      </c>
      <c r="F1544" s="16">
        <f ca="1" t="shared" si="151"/>
        <v>0</v>
      </c>
      <c r="G1544" s="16">
        <f ca="1" t="shared" si="150"/>
        <v>0</v>
      </c>
    </row>
    <row r="1545" spans="2:7">
      <c r="B1545" s="17" t="str">
        <f t="shared" si="149"/>
        <v>9/2029</v>
      </c>
      <c r="C1545" s="18">
        <f t="shared" si="146"/>
        <v>47377</v>
      </c>
      <c r="D1545" s="18" t="str">
        <f t="shared" si="147"/>
        <v>16/09/2029 a 22/09/2029</v>
      </c>
      <c r="E1545" s="16">
        <f>E1540+24</f>
        <v>7398</v>
      </c>
      <c r="F1545" s="16">
        <f ca="1" t="shared" si="151"/>
        <v>0</v>
      </c>
      <c r="G1545" s="16">
        <f ca="1" t="shared" si="150"/>
        <v>0</v>
      </c>
    </row>
    <row r="1546" spans="2:7">
      <c r="B1546" s="17" t="str">
        <f t="shared" si="149"/>
        <v>9/2029</v>
      </c>
      <c r="C1546" s="18">
        <f t="shared" si="146"/>
        <v>47377</v>
      </c>
      <c r="D1546" s="18" t="str">
        <f t="shared" si="147"/>
        <v>16/09/2029 a 22/09/2029</v>
      </c>
      <c r="E1546" s="16">
        <f t="shared" si="148"/>
        <v>7400</v>
      </c>
      <c r="F1546" s="16">
        <f ca="1" t="shared" si="151"/>
        <v>0</v>
      </c>
      <c r="G1546" s="16">
        <f ca="1" t="shared" si="150"/>
        <v>0</v>
      </c>
    </row>
    <row r="1547" spans="2:7">
      <c r="B1547" s="17" t="str">
        <f t="shared" si="149"/>
        <v>9/2029</v>
      </c>
      <c r="C1547" s="18">
        <f t="shared" si="146"/>
        <v>47377</v>
      </c>
      <c r="D1547" s="18" t="str">
        <f t="shared" si="147"/>
        <v>16/09/2029 a 22/09/2029</v>
      </c>
      <c r="E1547" s="16">
        <f t="shared" si="148"/>
        <v>7402</v>
      </c>
      <c r="F1547" s="16">
        <f ca="1" t="shared" si="151"/>
        <v>0</v>
      </c>
      <c r="G1547" s="16">
        <f ca="1" t="shared" si="150"/>
        <v>0</v>
      </c>
    </row>
    <row r="1548" spans="2:7">
      <c r="B1548" s="17" t="str">
        <f t="shared" si="149"/>
        <v>9/2029</v>
      </c>
      <c r="C1548" s="18">
        <f t="shared" si="146"/>
        <v>47377</v>
      </c>
      <c r="D1548" s="18" t="str">
        <f t="shared" si="147"/>
        <v>16/09/2029 a 22/09/2029</v>
      </c>
      <c r="E1548" s="16">
        <f t="shared" si="148"/>
        <v>7404</v>
      </c>
      <c r="F1548" s="16">
        <f ca="1" t="shared" si="151"/>
        <v>0</v>
      </c>
      <c r="G1548" s="16">
        <f ca="1" t="shared" si="150"/>
        <v>0</v>
      </c>
    </row>
    <row r="1549" spans="2:7">
      <c r="B1549" s="17" t="str">
        <f t="shared" si="149"/>
        <v>9/2029</v>
      </c>
      <c r="C1549" s="18">
        <f t="shared" si="146"/>
        <v>47377</v>
      </c>
      <c r="D1549" s="18" t="str">
        <f t="shared" si="147"/>
        <v>16/09/2029 a 22/09/2029</v>
      </c>
      <c r="E1549" s="16">
        <f t="shared" si="148"/>
        <v>7406</v>
      </c>
      <c r="F1549" s="16">
        <f ca="1" t="shared" si="151"/>
        <v>0</v>
      </c>
      <c r="G1549" s="16">
        <f ca="1" t="shared" si="150"/>
        <v>0</v>
      </c>
    </row>
    <row r="1550" spans="2:7">
      <c r="B1550" s="17" t="str">
        <f t="shared" si="149"/>
        <v>9/2029</v>
      </c>
      <c r="C1550" s="18">
        <f t="shared" si="146"/>
        <v>47384</v>
      </c>
      <c r="D1550" s="18" t="str">
        <f t="shared" si="147"/>
        <v>23/09/2029 a 29/09/2029</v>
      </c>
      <c r="E1550" s="16">
        <f>E1545+24</f>
        <v>7422</v>
      </c>
      <c r="F1550" s="16">
        <f ca="1" t="shared" si="151"/>
        <v>0</v>
      </c>
      <c r="G1550" s="16">
        <f ca="1" t="shared" si="150"/>
        <v>0</v>
      </c>
    </row>
    <row r="1551" spans="2:7">
      <c r="B1551" s="17" t="str">
        <f t="shared" si="149"/>
        <v>9/2029</v>
      </c>
      <c r="C1551" s="18">
        <f t="shared" si="146"/>
        <v>47384</v>
      </c>
      <c r="D1551" s="18" t="str">
        <f t="shared" si="147"/>
        <v>23/09/2029 a 29/09/2029</v>
      </c>
      <c r="E1551" s="16">
        <f t="shared" si="148"/>
        <v>7424</v>
      </c>
      <c r="F1551" s="16">
        <f ca="1" t="shared" si="151"/>
        <v>0</v>
      </c>
      <c r="G1551" s="16">
        <f ca="1" t="shared" si="150"/>
        <v>0</v>
      </c>
    </row>
    <row r="1552" spans="2:7">
      <c r="B1552" s="17" t="str">
        <f t="shared" si="149"/>
        <v>9/2029</v>
      </c>
      <c r="C1552" s="18">
        <f t="shared" si="146"/>
        <v>47384</v>
      </c>
      <c r="D1552" s="18" t="str">
        <f t="shared" si="147"/>
        <v>23/09/2029 a 29/09/2029</v>
      </c>
      <c r="E1552" s="16">
        <f t="shared" si="148"/>
        <v>7426</v>
      </c>
      <c r="F1552" s="16">
        <f ca="1" t="shared" si="151"/>
        <v>0</v>
      </c>
      <c r="G1552" s="16">
        <f ca="1" t="shared" si="150"/>
        <v>0</v>
      </c>
    </row>
    <row r="1553" spans="2:7">
      <c r="B1553" s="17" t="str">
        <f t="shared" si="149"/>
        <v>9/2029</v>
      </c>
      <c r="C1553" s="18">
        <f t="shared" si="146"/>
        <v>47384</v>
      </c>
      <c r="D1553" s="18" t="str">
        <f t="shared" si="147"/>
        <v>23/09/2029 a 29/09/2029</v>
      </c>
      <c r="E1553" s="16">
        <f t="shared" si="148"/>
        <v>7428</v>
      </c>
      <c r="F1553" s="16">
        <f ca="1" t="shared" si="151"/>
        <v>0</v>
      </c>
      <c r="G1553" s="16">
        <f ca="1" t="shared" si="150"/>
        <v>0</v>
      </c>
    </row>
    <row r="1554" spans="2:7">
      <c r="B1554" s="17" t="str">
        <f t="shared" si="149"/>
        <v>9/2029</v>
      </c>
      <c r="C1554" s="18">
        <f t="shared" ref="C1554:C1617" si="152">C1549+7</f>
        <v>47384</v>
      </c>
      <c r="D1554" s="18" t="str">
        <f t="shared" si="147"/>
        <v>23/09/2029 a 29/09/2029</v>
      </c>
      <c r="E1554" s="16">
        <f t="shared" si="148"/>
        <v>7430</v>
      </c>
      <c r="F1554" s="16">
        <f ca="1" t="shared" si="151"/>
        <v>0</v>
      </c>
      <c r="G1554" s="16">
        <f ca="1" t="shared" si="150"/>
        <v>0</v>
      </c>
    </row>
    <row r="1555" spans="2:7">
      <c r="B1555" s="17" t="str">
        <f t="shared" si="149"/>
        <v>9/2029</v>
      </c>
      <c r="C1555" s="18">
        <f t="shared" si="152"/>
        <v>47391</v>
      </c>
      <c r="D1555" s="18" t="str">
        <f t="shared" ref="D1555:D1618" si="153">TEXT((C1555),"DD/MM/AAAA")&amp;" a "&amp;TEXT((C1555+6),"DD/MM/AAAA")</f>
        <v>30/09/2029 a 06/10/2029</v>
      </c>
      <c r="E1555" s="16">
        <f>E1550+24</f>
        <v>7446</v>
      </c>
      <c r="F1555" s="16">
        <f ca="1" t="shared" si="151"/>
        <v>0</v>
      </c>
      <c r="G1555" s="16">
        <f ca="1" t="shared" si="150"/>
        <v>0</v>
      </c>
    </row>
    <row r="1556" spans="2:7">
      <c r="B1556" s="17" t="str">
        <f t="shared" si="149"/>
        <v>9/2029</v>
      </c>
      <c r="C1556" s="18">
        <f t="shared" si="152"/>
        <v>47391</v>
      </c>
      <c r="D1556" s="18" t="str">
        <f t="shared" si="153"/>
        <v>30/09/2029 a 06/10/2029</v>
      </c>
      <c r="E1556" s="16">
        <f t="shared" si="148"/>
        <v>7448</v>
      </c>
      <c r="F1556" s="16">
        <f ca="1" t="shared" si="151"/>
        <v>0</v>
      </c>
      <c r="G1556" s="16">
        <f ca="1" t="shared" si="150"/>
        <v>0</v>
      </c>
    </row>
    <row r="1557" spans="2:7">
      <c r="B1557" s="17" t="str">
        <f t="shared" si="149"/>
        <v>9/2029</v>
      </c>
      <c r="C1557" s="18">
        <f t="shared" si="152"/>
        <v>47391</v>
      </c>
      <c r="D1557" s="18" t="str">
        <f t="shared" si="153"/>
        <v>30/09/2029 a 06/10/2029</v>
      </c>
      <c r="E1557" s="16">
        <f t="shared" si="148"/>
        <v>7450</v>
      </c>
      <c r="F1557" s="16">
        <f ca="1" t="shared" si="151"/>
        <v>0</v>
      </c>
      <c r="G1557" s="16">
        <f ca="1" t="shared" si="150"/>
        <v>0</v>
      </c>
    </row>
    <row r="1558" spans="2:7">
      <c r="B1558" s="17" t="str">
        <f t="shared" si="149"/>
        <v>9/2029</v>
      </c>
      <c r="C1558" s="18">
        <f t="shared" si="152"/>
        <v>47391</v>
      </c>
      <c r="D1558" s="18" t="str">
        <f t="shared" si="153"/>
        <v>30/09/2029 a 06/10/2029</v>
      </c>
      <c r="E1558" s="16">
        <f t="shared" si="148"/>
        <v>7452</v>
      </c>
      <c r="F1558" s="16">
        <f ca="1" t="shared" si="151"/>
        <v>0</v>
      </c>
      <c r="G1558" s="16">
        <f ca="1" t="shared" si="150"/>
        <v>0</v>
      </c>
    </row>
    <row r="1559" spans="2:7">
      <c r="B1559" s="17" t="str">
        <f t="shared" si="149"/>
        <v>9/2029</v>
      </c>
      <c r="C1559" s="18">
        <f t="shared" si="152"/>
        <v>47391</v>
      </c>
      <c r="D1559" s="18" t="str">
        <f t="shared" si="153"/>
        <v>30/09/2029 a 06/10/2029</v>
      </c>
      <c r="E1559" s="16">
        <f t="shared" si="148"/>
        <v>7454</v>
      </c>
      <c r="F1559" s="16">
        <f ca="1" t="shared" si="151"/>
        <v>0</v>
      </c>
      <c r="G1559" s="16">
        <f ca="1" t="shared" si="150"/>
        <v>0</v>
      </c>
    </row>
    <row r="1560" spans="2:7">
      <c r="B1560" s="17" t="str">
        <f t="shared" si="149"/>
        <v>10/2029</v>
      </c>
      <c r="C1560" s="18">
        <f t="shared" si="152"/>
        <v>47398</v>
      </c>
      <c r="D1560" s="18" t="str">
        <f t="shared" si="153"/>
        <v>07/10/2029 a 13/10/2029</v>
      </c>
      <c r="E1560" s="16">
        <f>E1555+24</f>
        <v>7470</v>
      </c>
      <c r="F1560" s="16">
        <f ca="1" t="shared" si="151"/>
        <v>0</v>
      </c>
      <c r="G1560" s="16">
        <f ca="1" t="shared" si="150"/>
        <v>0</v>
      </c>
    </row>
    <row r="1561" spans="2:7">
      <c r="B1561" s="17" t="str">
        <f t="shared" si="149"/>
        <v>10/2029</v>
      </c>
      <c r="C1561" s="18">
        <f t="shared" si="152"/>
        <v>47398</v>
      </c>
      <c r="D1561" s="18" t="str">
        <f t="shared" si="153"/>
        <v>07/10/2029 a 13/10/2029</v>
      </c>
      <c r="E1561" s="16">
        <f t="shared" si="148"/>
        <v>7472</v>
      </c>
      <c r="F1561" s="16">
        <f ca="1" t="shared" si="151"/>
        <v>0</v>
      </c>
      <c r="G1561" s="16">
        <f ca="1" t="shared" si="150"/>
        <v>0</v>
      </c>
    </row>
    <row r="1562" spans="2:7">
      <c r="B1562" s="17" t="str">
        <f t="shared" si="149"/>
        <v>10/2029</v>
      </c>
      <c r="C1562" s="18">
        <f t="shared" si="152"/>
        <v>47398</v>
      </c>
      <c r="D1562" s="18" t="str">
        <f t="shared" si="153"/>
        <v>07/10/2029 a 13/10/2029</v>
      </c>
      <c r="E1562" s="16">
        <f t="shared" si="148"/>
        <v>7474</v>
      </c>
      <c r="F1562" s="16">
        <f ca="1" t="shared" si="151"/>
        <v>0</v>
      </c>
      <c r="G1562" s="16">
        <f ca="1" t="shared" si="150"/>
        <v>0</v>
      </c>
    </row>
    <row r="1563" spans="2:7">
      <c r="B1563" s="17" t="str">
        <f t="shared" si="149"/>
        <v>10/2029</v>
      </c>
      <c r="C1563" s="18">
        <f t="shared" si="152"/>
        <v>47398</v>
      </c>
      <c r="D1563" s="18" t="str">
        <f t="shared" si="153"/>
        <v>07/10/2029 a 13/10/2029</v>
      </c>
      <c r="E1563" s="16">
        <f t="shared" si="148"/>
        <v>7476</v>
      </c>
      <c r="F1563" s="16">
        <f ca="1" t="shared" si="151"/>
        <v>0</v>
      </c>
      <c r="G1563" s="16">
        <f ca="1" t="shared" si="150"/>
        <v>0</v>
      </c>
    </row>
    <row r="1564" spans="2:7">
      <c r="B1564" s="17" t="str">
        <f t="shared" si="149"/>
        <v>10/2029</v>
      </c>
      <c r="C1564" s="18">
        <f t="shared" si="152"/>
        <v>47398</v>
      </c>
      <c r="D1564" s="18" t="str">
        <f t="shared" si="153"/>
        <v>07/10/2029 a 13/10/2029</v>
      </c>
      <c r="E1564" s="16">
        <f t="shared" si="148"/>
        <v>7478</v>
      </c>
      <c r="F1564" s="16">
        <f ca="1" t="shared" si="151"/>
        <v>0</v>
      </c>
      <c r="G1564" s="16">
        <f ca="1" t="shared" si="150"/>
        <v>0</v>
      </c>
    </row>
    <row r="1565" spans="2:7">
      <c r="B1565" s="17" t="str">
        <f t="shared" si="149"/>
        <v>10/2029</v>
      </c>
      <c r="C1565" s="18">
        <f t="shared" si="152"/>
        <v>47405</v>
      </c>
      <c r="D1565" s="18" t="str">
        <f t="shared" si="153"/>
        <v>14/10/2029 a 20/10/2029</v>
      </c>
      <c r="E1565" s="16">
        <f>E1560+24</f>
        <v>7494</v>
      </c>
      <c r="F1565" s="16">
        <f ca="1" t="shared" si="151"/>
        <v>0</v>
      </c>
      <c r="G1565" s="16">
        <f ca="1" t="shared" si="150"/>
        <v>0</v>
      </c>
    </row>
    <row r="1566" spans="2:7">
      <c r="B1566" s="17" t="str">
        <f t="shared" si="149"/>
        <v>10/2029</v>
      </c>
      <c r="C1566" s="18">
        <f t="shared" si="152"/>
        <v>47405</v>
      </c>
      <c r="D1566" s="18" t="str">
        <f t="shared" si="153"/>
        <v>14/10/2029 a 20/10/2029</v>
      </c>
      <c r="E1566" s="16">
        <f t="shared" si="148"/>
        <v>7496</v>
      </c>
      <c r="F1566" s="16">
        <f ca="1" t="shared" si="151"/>
        <v>0</v>
      </c>
      <c r="G1566" s="16">
        <f ca="1" t="shared" si="150"/>
        <v>0</v>
      </c>
    </row>
    <row r="1567" spans="2:7">
      <c r="B1567" s="17" t="str">
        <f t="shared" si="149"/>
        <v>10/2029</v>
      </c>
      <c r="C1567" s="18">
        <f t="shared" si="152"/>
        <v>47405</v>
      </c>
      <c r="D1567" s="18" t="str">
        <f t="shared" si="153"/>
        <v>14/10/2029 a 20/10/2029</v>
      </c>
      <c r="E1567" s="16">
        <f t="shared" si="148"/>
        <v>7498</v>
      </c>
      <c r="F1567" s="16">
        <f ca="1" t="shared" si="151"/>
        <v>0</v>
      </c>
      <c r="G1567" s="16">
        <f ca="1" t="shared" si="150"/>
        <v>0</v>
      </c>
    </row>
    <row r="1568" spans="2:7">
      <c r="B1568" s="17" t="str">
        <f t="shared" si="149"/>
        <v>10/2029</v>
      </c>
      <c r="C1568" s="18">
        <f t="shared" si="152"/>
        <v>47405</v>
      </c>
      <c r="D1568" s="18" t="str">
        <f t="shared" si="153"/>
        <v>14/10/2029 a 20/10/2029</v>
      </c>
      <c r="E1568" s="16">
        <f t="shared" si="148"/>
        <v>7500</v>
      </c>
      <c r="F1568" s="16">
        <f ca="1" t="shared" si="151"/>
        <v>0</v>
      </c>
      <c r="G1568" s="16">
        <f ca="1" t="shared" si="150"/>
        <v>0</v>
      </c>
    </row>
    <row r="1569" spans="2:7">
      <c r="B1569" s="17" t="str">
        <f t="shared" si="149"/>
        <v>10/2029</v>
      </c>
      <c r="C1569" s="18">
        <f t="shared" si="152"/>
        <v>47405</v>
      </c>
      <c r="D1569" s="18" t="str">
        <f t="shared" si="153"/>
        <v>14/10/2029 a 20/10/2029</v>
      </c>
      <c r="E1569" s="16">
        <f t="shared" si="148"/>
        <v>7502</v>
      </c>
      <c r="F1569" s="16">
        <f ca="1" t="shared" si="151"/>
        <v>0</v>
      </c>
      <c r="G1569" s="16">
        <f ca="1" t="shared" si="150"/>
        <v>0</v>
      </c>
    </row>
    <row r="1570" spans="2:7">
      <c r="B1570" s="17" t="str">
        <f t="shared" si="149"/>
        <v>10/2029</v>
      </c>
      <c r="C1570" s="18">
        <f t="shared" si="152"/>
        <v>47412</v>
      </c>
      <c r="D1570" s="18" t="str">
        <f t="shared" si="153"/>
        <v>21/10/2029 a 27/10/2029</v>
      </c>
      <c r="E1570" s="16">
        <f>E1565+24</f>
        <v>7518</v>
      </c>
      <c r="F1570" s="16">
        <f ca="1" t="shared" si="151"/>
        <v>0</v>
      </c>
      <c r="G1570" s="16">
        <f ca="1" t="shared" si="150"/>
        <v>0</v>
      </c>
    </row>
    <row r="1571" spans="2:7">
      <c r="B1571" s="17" t="str">
        <f t="shared" si="149"/>
        <v>10/2029</v>
      </c>
      <c r="C1571" s="18">
        <f t="shared" si="152"/>
        <v>47412</v>
      </c>
      <c r="D1571" s="18" t="str">
        <f t="shared" si="153"/>
        <v>21/10/2029 a 27/10/2029</v>
      </c>
      <c r="E1571" s="16">
        <f t="shared" si="148"/>
        <v>7520</v>
      </c>
      <c r="F1571" s="16">
        <f ca="1" t="shared" si="151"/>
        <v>0</v>
      </c>
      <c r="G1571" s="16">
        <f ca="1" t="shared" si="150"/>
        <v>0</v>
      </c>
    </row>
    <row r="1572" spans="2:7">
      <c r="B1572" s="17" t="str">
        <f t="shared" si="149"/>
        <v>10/2029</v>
      </c>
      <c r="C1572" s="18">
        <f t="shared" si="152"/>
        <v>47412</v>
      </c>
      <c r="D1572" s="18" t="str">
        <f t="shared" si="153"/>
        <v>21/10/2029 a 27/10/2029</v>
      </c>
      <c r="E1572" s="16">
        <f t="shared" si="148"/>
        <v>7522</v>
      </c>
      <c r="F1572" s="16">
        <f ca="1" t="shared" si="151"/>
        <v>0</v>
      </c>
      <c r="G1572" s="16">
        <f ca="1" t="shared" si="150"/>
        <v>0</v>
      </c>
    </row>
    <row r="1573" spans="2:7">
      <c r="B1573" s="17" t="str">
        <f t="shared" si="149"/>
        <v>10/2029</v>
      </c>
      <c r="C1573" s="18">
        <f t="shared" si="152"/>
        <v>47412</v>
      </c>
      <c r="D1573" s="18" t="str">
        <f t="shared" si="153"/>
        <v>21/10/2029 a 27/10/2029</v>
      </c>
      <c r="E1573" s="16">
        <f t="shared" si="148"/>
        <v>7524</v>
      </c>
      <c r="F1573" s="16">
        <f ca="1" t="shared" si="151"/>
        <v>0</v>
      </c>
      <c r="G1573" s="16">
        <f ca="1" t="shared" si="150"/>
        <v>0</v>
      </c>
    </row>
    <row r="1574" spans="2:7">
      <c r="B1574" s="17" t="str">
        <f t="shared" si="149"/>
        <v>10/2029</v>
      </c>
      <c r="C1574" s="18">
        <f t="shared" si="152"/>
        <v>47412</v>
      </c>
      <c r="D1574" s="18" t="str">
        <f t="shared" si="153"/>
        <v>21/10/2029 a 27/10/2029</v>
      </c>
      <c r="E1574" s="16">
        <f t="shared" si="148"/>
        <v>7526</v>
      </c>
      <c r="F1574" s="16">
        <f ca="1" t="shared" si="151"/>
        <v>0</v>
      </c>
      <c r="G1574" s="16">
        <f ca="1" t="shared" si="150"/>
        <v>0</v>
      </c>
    </row>
    <row r="1575" spans="2:7">
      <c r="B1575" s="17" t="str">
        <f t="shared" si="149"/>
        <v>10/2029</v>
      </c>
      <c r="C1575" s="18">
        <f t="shared" si="152"/>
        <v>47419</v>
      </c>
      <c r="D1575" s="18" t="str">
        <f t="shared" si="153"/>
        <v>28/10/2029 a 03/11/2029</v>
      </c>
      <c r="E1575" s="16">
        <f>E1570+24</f>
        <v>7542</v>
      </c>
      <c r="F1575" s="16">
        <f ca="1" t="shared" si="151"/>
        <v>0</v>
      </c>
      <c r="G1575" s="16">
        <f ca="1" t="shared" si="150"/>
        <v>0</v>
      </c>
    </row>
    <row r="1576" spans="2:7">
      <c r="B1576" s="17" t="str">
        <f t="shared" si="149"/>
        <v>10/2029</v>
      </c>
      <c r="C1576" s="18">
        <f t="shared" si="152"/>
        <v>47419</v>
      </c>
      <c r="D1576" s="18" t="str">
        <f t="shared" si="153"/>
        <v>28/10/2029 a 03/11/2029</v>
      </c>
      <c r="E1576" s="16">
        <f t="shared" si="148"/>
        <v>7544</v>
      </c>
      <c r="F1576" s="16">
        <f ca="1" t="shared" si="151"/>
        <v>0</v>
      </c>
      <c r="G1576" s="16">
        <f ca="1" t="shared" si="150"/>
        <v>0</v>
      </c>
    </row>
    <row r="1577" spans="2:7">
      <c r="B1577" s="17" t="str">
        <f t="shared" si="149"/>
        <v>10/2029</v>
      </c>
      <c r="C1577" s="18">
        <f t="shared" si="152"/>
        <v>47419</v>
      </c>
      <c r="D1577" s="18" t="str">
        <f t="shared" si="153"/>
        <v>28/10/2029 a 03/11/2029</v>
      </c>
      <c r="E1577" s="16">
        <f t="shared" si="148"/>
        <v>7546</v>
      </c>
      <c r="F1577" s="16">
        <f ca="1" t="shared" si="151"/>
        <v>0</v>
      </c>
      <c r="G1577" s="16">
        <f ca="1" t="shared" si="150"/>
        <v>0</v>
      </c>
    </row>
    <row r="1578" spans="2:7">
      <c r="B1578" s="17" t="str">
        <f t="shared" si="149"/>
        <v>10/2029</v>
      </c>
      <c r="C1578" s="18">
        <f t="shared" si="152"/>
        <v>47419</v>
      </c>
      <c r="D1578" s="18" t="str">
        <f t="shared" si="153"/>
        <v>28/10/2029 a 03/11/2029</v>
      </c>
      <c r="E1578" s="16">
        <f t="shared" si="148"/>
        <v>7548</v>
      </c>
      <c r="F1578" s="16">
        <f ca="1" t="shared" si="151"/>
        <v>0</v>
      </c>
      <c r="G1578" s="16">
        <f ca="1" t="shared" si="150"/>
        <v>0</v>
      </c>
    </row>
    <row r="1579" spans="2:7">
      <c r="B1579" s="17" t="str">
        <f t="shared" si="149"/>
        <v>10/2029</v>
      </c>
      <c r="C1579" s="18">
        <f t="shared" si="152"/>
        <v>47419</v>
      </c>
      <c r="D1579" s="18" t="str">
        <f t="shared" si="153"/>
        <v>28/10/2029 a 03/11/2029</v>
      </c>
      <c r="E1579" s="16">
        <f t="shared" si="148"/>
        <v>7550</v>
      </c>
      <c r="F1579" s="16">
        <f ca="1" t="shared" si="151"/>
        <v>0</v>
      </c>
      <c r="G1579" s="16">
        <f ca="1" t="shared" si="150"/>
        <v>0</v>
      </c>
    </row>
    <row r="1580" spans="2:7">
      <c r="B1580" s="17" t="str">
        <f t="shared" si="149"/>
        <v>11/2029</v>
      </c>
      <c r="C1580" s="18">
        <f t="shared" si="152"/>
        <v>47426</v>
      </c>
      <c r="D1580" s="18" t="str">
        <f t="shared" si="153"/>
        <v>04/11/2029 a 10/11/2029</v>
      </c>
      <c r="E1580" s="16">
        <f>E1575+24</f>
        <v>7566</v>
      </c>
      <c r="F1580" s="16">
        <f ca="1" t="shared" si="151"/>
        <v>0</v>
      </c>
      <c r="G1580" s="16">
        <f ca="1" t="shared" si="150"/>
        <v>0</v>
      </c>
    </row>
    <row r="1581" spans="2:7">
      <c r="B1581" s="17" t="str">
        <f t="shared" si="149"/>
        <v>11/2029</v>
      </c>
      <c r="C1581" s="18">
        <f t="shared" si="152"/>
        <v>47426</v>
      </c>
      <c r="D1581" s="18" t="str">
        <f t="shared" si="153"/>
        <v>04/11/2029 a 10/11/2029</v>
      </c>
      <c r="E1581" s="16">
        <f t="shared" si="148"/>
        <v>7568</v>
      </c>
      <c r="F1581" s="16">
        <f ca="1" t="shared" si="151"/>
        <v>0</v>
      </c>
      <c r="G1581" s="16">
        <f ca="1" t="shared" si="150"/>
        <v>0</v>
      </c>
    </row>
    <row r="1582" spans="2:7">
      <c r="B1582" s="17" t="str">
        <f t="shared" si="149"/>
        <v>11/2029</v>
      </c>
      <c r="C1582" s="18">
        <f t="shared" si="152"/>
        <v>47426</v>
      </c>
      <c r="D1582" s="18" t="str">
        <f t="shared" si="153"/>
        <v>04/11/2029 a 10/11/2029</v>
      </c>
      <c r="E1582" s="16">
        <f t="shared" si="148"/>
        <v>7570</v>
      </c>
      <c r="F1582" s="16">
        <f ca="1" t="shared" si="151"/>
        <v>0</v>
      </c>
      <c r="G1582" s="16">
        <f ca="1" t="shared" si="150"/>
        <v>0</v>
      </c>
    </row>
    <row r="1583" spans="2:7">
      <c r="B1583" s="17" t="str">
        <f t="shared" si="149"/>
        <v>11/2029</v>
      </c>
      <c r="C1583" s="18">
        <f t="shared" si="152"/>
        <v>47426</v>
      </c>
      <c r="D1583" s="18" t="str">
        <f t="shared" si="153"/>
        <v>04/11/2029 a 10/11/2029</v>
      </c>
      <c r="E1583" s="16">
        <f t="shared" si="148"/>
        <v>7572</v>
      </c>
      <c r="F1583" s="16">
        <f ca="1" t="shared" si="151"/>
        <v>0</v>
      </c>
      <c r="G1583" s="16">
        <f ca="1" t="shared" si="150"/>
        <v>0</v>
      </c>
    </row>
    <row r="1584" spans="2:7">
      <c r="B1584" s="17" t="str">
        <f t="shared" si="149"/>
        <v>11/2029</v>
      </c>
      <c r="C1584" s="18">
        <f t="shared" si="152"/>
        <v>47426</v>
      </c>
      <c r="D1584" s="18" t="str">
        <f t="shared" si="153"/>
        <v>04/11/2029 a 10/11/2029</v>
      </c>
      <c r="E1584" s="16">
        <f t="shared" si="148"/>
        <v>7574</v>
      </c>
      <c r="F1584" s="16">
        <f ca="1" t="shared" si="151"/>
        <v>0</v>
      </c>
      <c r="G1584" s="16">
        <f ca="1" t="shared" si="150"/>
        <v>0</v>
      </c>
    </row>
    <row r="1585" spans="2:7">
      <c r="B1585" s="17" t="str">
        <f t="shared" si="149"/>
        <v>11/2029</v>
      </c>
      <c r="C1585" s="18">
        <f t="shared" si="152"/>
        <v>47433</v>
      </c>
      <c r="D1585" s="18" t="str">
        <f t="shared" si="153"/>
        <v>11/11/2029 a 17/11/2029</v>
      </c>
      <c r="E1585" s="16">
        <f>E1580+24</f>
        <v>7590</v>
      </c>
      <c r="F1585" s="16">
        <f ca="1" t="shared" si="151"/>
        <v>0</v>
      </c>
      <c r="G1585" s="16">
        <f ca="1" t="shared" si="150"/>
        <v>0</v>
      </c>
    </row>
    <row r="1586" spans="2:7">
      <c r="B1586" s="17" t="str">
        <f t="shared" si="149"/>
        <v>11/2029</v>
      </c>
      <c r="C1586" s="18">
        <f t="shared" si="152"/>
        <v>47433</v>
      </c>
      <c r="D1586" s="18" t="str">
        <f t="shared" si="153"/>
        <v>11/11/2029 a 17/11/2029</v>
      </c>
      <c r="E1586" s="16">
        <f t="shared" ref="E1586:E1649" si="154">E1585+2</f>
        <v>7592</v>
      </c>
      <c r="F1586" s="16">
        <f ca="1" t="shared" si="151"/>
        <v>0</v>
      </c>
      <c r="G1586" s="16">
        <f ca="1" t="shared" si="150"/>
        <v>0</v>
      </c>
    </row>
    <row r="1587" spans="2:7">
      <c r="B1587" s="17" t="str">
        <f t="shared" si="149"/>
        <v>11/2029</v>
      </c>
      <c r="C1587" s="18">
        <f t="shared" si="152"/>
        <v>47433</v>
      </c>
      <c r="D1587" s="18" t="str">
        <f t="shared" si="153"/>
        <v>11/11/2029 a 17/11/2029</v>
      </c>
      <c r="E1587" s="16">
        <f t="shared" si="154"/>
        <v>7594</v>
      </c>
      <c r="F1587" s="16">
        <f ca="1" t="shared" si="151"/>
        <v>0</v>
      </c>
      <c r="G1587" s="16">
        <f ca="1" t="shared" si="150"/>
        <v>0</v>
      </c>
    </row>
    <row r="1588" spans="2:7">
      <c r="B1588" s="17" t="str">
        <f t="shared" si="149"/>
        <v>11/2029</v>
      </c>
      <c r="C1588" s="18">
        <f t="shared" si="152"/>
        <v>47433</v>
      </c>
      <c r="D1588" s="18" t="str">
        <f t="shared" si="153"/>
        <v>11/11/2029 a 17/11/2029</v>
      </c>
      <c r="E1588" s="16">
        <f t="shared" si="154"/>
        <v>7596</v>
      </c>
      <c r="F1588" s="16">
        <f ca="1" t="shared" si="151"/>
        <v>0</v>
      </c>
      <c r="G1588" s="16">
        <f ca="1" t="shared" si="150"/>
        <v>0</v>
      </c>
    </row>
    <row r="1589" spans="2:7">
      <c r="B1589" s="17" t="str">
        <f t="shared" si="149"/>
        <v>11/2029</v>
      </c>
      <c r="C1589" s="18">
        <f t="shared" si="152"/>
        <v>47433</v>
      </c>
      <c r="D1589" s="18" t="str">
        <f t="shared" si="153"/>
        <v>11/11/2029 a 17/11/2029</v>
      </c>
      <c r="E1589" s="16">
        <f t="shared" si="154"/>
        <v>7598</v>
      </c>
      <c r="F1589" s="16">
        <f ca="1" t="shared" si="151"/>
        <v>0</v>
      </c>
      <c r="G1589" s="16">
        <f ca="1" t="shared" si="150"/>
        <v>0</v>
      </c>
    </row>
    <row r="1590" spans="2:7">
      <c r="B1590" s="17" t="str">
        <f t="shared" si="149"/>
        <v>11/2029</v>
      </c>
      <c r="C1590" s="18">
        <f t="shared" si="152"/>
        <v>47440</v>
      </c>
      <c r="D1590" s="18" t="str">
        <f t="shared" si="153"/>
        <v>18/11/2029 a 24/11/2029</v>
      </c>
      <c r="E1590" s="16">
        <f>E1585+24</f>
        <v>7614</v>
      </c>
      <c r="F1590" s="16">
        <f ca="1" t="shared" si="151"/>
        <v>0</v>
      </c>
      <c r="G1590" s="16">
        <f ca="1" t="shared" si="150"/>
        <v>0</v>
      </c>
    </row>
    <row r="1591" spans="2:7">
      <c r="B1591" s="17" t="str">
        <f t="shared" si="149"/>
        <v>11/2029</v>
      </c>
      <c r="C1591" s="18">
        <f t="shared" si="152"/>
        <v>47440</v>
      </c>
      <c r="D1591" s="18" t="str">
        <f t="shared" si="153"/>
        <v>18/11/2029 a 24/11/2029</v>
      </c>
      <c r="E1591" s="16">
        <f t="shared" si="154"/>
        <v>7616</v>
      </c>
      <c r="F1591" s="16">
        <f ca="1" t="shared" si="151"/>
        <v>0</v>
      </c>
      <c r="G1591" s="16">
        <f ca="1" t="shared" si="150"/>
        <v>0</v>
      </c>
    </row>
    <row r="1592" spans="2:7">
      <c r="B1592" s="17" t="str">
        <f t="shared" si="149"/>
        <v>11/2029</v>
      </c>
      <c r="C1592" s="18">
        <f t="shared" si="152"/>
        <v>47440</v>
      </c>
      <c r="D1592" s="18" t="str">
        <f t="shared" si="153"/>
        <v>18/11/2029 a 24/11/2029</v>
      </c>
      <c r="E1592" s="16">
        <f t="shared" si="154"/>
        <v>7618</v>
      </c>
      <c r="F1592" s="16">
        <f ca="1" t="shared" si="151"/>
        <v>0</v>
      </c>
      <c r="G1592" s="16">
        <f ca="1" t="shared" si="150"/>
        <v>0</v>
      </c>
    </row>
    <row r="1593" spans="2:7">
      <c r="B1593" s="17" t="str">
        <f t="shared" ref="B1593:B1656" si="155">MONTH(C1593)&amp;"/"&amp;YEAR(C1593)</f>
        <v>11/2029</v>
      </c>
      <c r="C1593" s="18">
        <f t="shared" si="152"/>
        <v>47440</v>
      </c>
      <c r="D1593" s="18" t="str">
        <f t="shared" si="153"/>
        <v>18/11/2029 a 24/11/2029</v>
      </c>
      <c r="E1593" s="16">
        <f t="shared" si="154"/>
        <v>7620</v>
      </c>
      <c r="F1593" s="16">
        <f ca="1" t="shared" si="151"/>
        <v>0</v>
      </c>
      <c r="G1593" s="16">
        <f ca="1" t="shared" ref="G1593:G1656" si="156">INDIRECT("'Diário'!J"&amp;E1593)</f>
        <v>0</v>
      </c>
    </row>
    <row r="1594" spans="2:7">
      <c r="B1594" s="17" t="str">
        <f t="shared" si="155"/>
        <v>11/2029</v>
      </c>
      <c r="C1594" s="18">
        <f t="shared" si="152"/>
        <v>47440</v>
      </c>
      <c r="D1594" s="18" t="str">
        <f t="shared" si="153"/>
        <v>18/11/2029 a 24/11/2029</v>
      </c>
      <c r="E1594" s="16">
        <f t="shared" si="154"/>
        <v>7622</v>
      </c>
      <c r="F1594" s="16">
        <f ca="1" t="shared" si="151"/>
        <v>0</v>
      </c>
      <c r="G1594" s="16">
        <f ca="1" t="shared" si="156"/>
        <v>0</v>
      </c>
    </row>
    <row r="1595" spans="2:7">
      <c r="B1595" s="17" t="str">
        <f t="shared" si="155"/>
        <v>11/2029</v>
      </c>
      <c r="C1595" s="18">
        <f t="shared" si="152"/>
        <v>47447</v>
      </c>
      <c r="D1595" s="18" t="str">
        <f t="shared" si="153"/>
        <v>25/11/2029 a 01/12/2029</v>
      </c>
      <c r="E1595" s="16">
        <f>E1590+24</f>
        <v>7638</v>
      </c>
      <c r="F1595" s="16">
        <f ca="1" t="shared" si="151"/>
        <v>0</v>
      </c>
      <c r="G1595" s="16">
        <f ca="1" t="shared" si="156"/>
        <v>0</v>
      </c>
    </row>
    <row r="1596" spans="2:7">
      <c r="B1596" s="17" t="str">
        <f t="shared" si="155"/>
        <v>11/2029</v>
      </c>
      <c r="C1596" s="18">
        <f t="shared" si="152"/>
        <v>47447</v>
      </c>
      <c r="D1596" s="18" t="str">
        <f t="shared" si="153"/>
        <v>25/11/2029 a 01/12/2029</v>
      </c>
      <c r="E1596" s="16">
        <f t="shared" si="154"/>
        <v>7640</v>
      </c>
      <c r="F1596" s="16">
        <f ca="1" t="shared" si="151"/>
        <v>0</v>
      </c>
      <c r="G1596" s="16">
        <f ca="1" t="shared" si="156"/>
        <v>0</v>
      </c>
    </row>
    <row r="1597" spans="2:7">
      <c r="B1597" s="17" t="str">
        <f t="shared" si="155"/>
        <v>11/2029</v>
      </c>
      <c r="C1597" s="18">
        <f t="shared" si="152"/>
        <v>47447</v>
      </c>
      <c r="D1597" s="18" t="str">
        <f t="shared" si="153"/>
        <v>25/11/2029 a 01/12/2029</v>
      </c>
      <c r="E1597" s="16">
        <f t="shared" si="154"/>
        <v>7642</v>
      </c>
      <c r="F1597" s="16">
        <f ca="1" t="shared" si="151"/>
        <v>0</v>
      </c>
      <c r="G1597" s="16">
        <f ca="1" t="shared" si="156"/>
        <v>0</v>
      </c>
    </row>
    <row r="1598" spans="2:7">
      <c r="B1598" s="17" t="str">
        <f t="shared" si="155"/>
        <v>11/2029</v>
      </c>
      <c r="C1598" s="18">
        <f t="shared" si="152"/>
        <v>47447</v>
      </c>
      <c r="D1598" s="18" t="str">
        <f t="shared" si="153"/>
        <v>25/11/2029 a 01/12/2029</v>
      </c>
      <c r="E1598" s="16">
        <f t="shared" si="154"/>
        <v>7644</v>
      </c>
      <c r="F1598" s="16">
        <f ca="1" t="shared" ref="F1598:F1661" si="157">INDIRECT("Diário!I"&amp;E1598)</f>
        <v>0</v>
      </c>
      <c r="G1598" s="16">
        <f ca="1" t="shared" si="156"/>
        <v>0</v>
      </c>
    </row>
    <row r="1599" spans="2:7">
      <c r="B1599" s="17" t="str">
        <f t="shared" si="155"/>
        <v>11/2029</v>
      </c>
      <c r="C1599" s="18">
        <f t="shared" si="152"/>
        <v>47447</v>
      </c>
      <c r="D1599" s="18" t="str">
        <f t="shared" si="153"/>
        <v>25/11/2029 a 01/12/2029</v>
      </c>
      <c r="E1599" s="16">
        <f t="shared" si="154"/>
        <v>7646</v>
      </c>
      <c r="F1599" s="16">
        <f ca="1" t="shared" si="157"/>
        <v>0</v>
      </c>
      <c r="G1599" s="16">
        <f ca="1" t="shared" si="156"/>
        <v>0</v>
      </c>
    </row>
    <row r="1600" spans="2:7">
      <c r="B1600" s="17" t="str">
        <f t="shared" si="155"/>
        <v>12/2029</v>
      </c>
      <c r="C1600" s="18">
        <f t="shared" si="152"/>
        <v>47454</v>
      </c>
      <c r="D1600" s="18" t="str">
        <f t="shared" si="153"/>
        <v>02/12/2029 a 08/12/2029</v>
      </c>
      <c r="E1600" s="16">
        <f>E1595+24</f>
        <v>7662</v>
      </c>
      <c r="F1600" s="16">
        <f ca="1" t="shared" si="157"/>
        <v>0</v>
      </c>
      <c r="G1600" s="16">
        <f ca="1" t="shared" si="156"/>
        <v>0</v>
      </c>
    </row>
    <row r="1601" spans="2:7">
      <c r="B1601" s="17" t="str">
        <f t="shared" si="155"/>
        <v>12/2029</v>
      </c>
      <c r="C1601" s="18">
        <f t="shared" si="152"/>
        <v>47454</v>
      </c>
      <c r="D1601" s="18" t="str">
        <f t="shared" si="153"/>
        <v>02/12/2029 a 08/12/2029</v>
      </c>
      <c r="E1601" s="16">
        <f t="shared" si="154"/>
        <v>7664</v>
      </c>
      <c r="F1601" s="16">
        <f ca="1" t="shared" si="157"/>
        <v>0</v>
      </c>
      <c r="G1601" s="16">
        <f ca="1" t="shared" si="156"/>
        <v>0</v>
      </c>
    </row>
    <row r="1602" spans="2:7">
      <c r="B1602" s="17" t="str">
        <f t="shared" si="155"/>
        <v>12/2029</v>
      </c>
      <c r="C1602" s="18">
        <f t="shared" si="152"/>
        <v>47454</v>
      </c>
      <c r="D1602" s="18" t="str">
        <f t="shared" si="153"/>
        <v>02/12/2029 a 08/12/2029</v>
      </c>
      <c r="E1602" s="16">
        <f t="shared" si="154"/>
        <v>7666</v>
      </c>
      <c r="F1602" s="16">
        <f ca="1" t="shared" si="157"/>
        <v>0</v>
      </c>
      <c r="G1602" s="16">
        <f ca="1" t="shared" si="156"/>
        <v>0</v>
      </c>
    </row>
    <row r="1603" spans="2:7">
      <c r="B1603" s="17" t="str">
        <f t="shared" si="155"/>
        <v>12/2029</v>
      </c>
      <c r="C1603" s="18">
        <f t="shared" si="152"/>
        <v>47454</v>
      </c>
      <c r="D1603" s="18" t="str">
        <f t="shared" si="153"/>
        <v>02/12/2029 a 08/12/2029</v>
      </c>
      <c r="E1603" s="16">
        <f t="shared" si="154"/>
        <v>7668</v>
      </c>
      <c r="F1603" s="16">
        <f ca="1" t="shared" si="157"/>
        <v>0</v>
      </c>
      <c r="G1603" s="16">
        <f ca="1" t="shared" si="156"/>
        <v>0</v>
      </c>
    </row>
    <row r="1604" spans="2:7">
      <c r="B1604" s="17" t="str">
        <f t="shared" si="155"/>
        <v>12/2029</v>
      </c>
      <c r="C1604" s="18">
        <f t="shared" si="152"/>
        <v>47454</v>
      </c>
      <c r="D1604" s="18" t="str">
        <f t="shared" si="153"/>
        <v>02/12/2029 a 08/12/2029</v>
      </c>
      <c r="E1604" s="16">
        <f t="shared" si="154"/>
        <v>7670</v>
      </c>
      <c r="F1604" s="16">
        <f ca="1" t="shared" si="157"/>
        <v>0</v>
      </c>
      <c r="G1604" s="16">
        <f ca="1" t="shared" si="156"/>
        <v>0</v>
      </c>
    </row>
    <row r="1605" spans="2:7">
      <c r="B1605" s="17" t="str">
        <f t="shared" si="155"/>
        <v>12/2029</v>
      </c>
      <c r="C1605" s="18">
        <f t="shared" si="152"/>
        <v>47461</v>
      </c>
      <c r="D1605" s="18" t="str">
        <f t="shared" si="153"/>
        <v>09/12/2029 a 15/12/2029</v>
      </c>
      <c r="E1605" s="16">
        <f>E1600+24</f>
        <v>7686</v>
      </c>
      <c r="F1605" s="16">
        <f ca="1" t="shared" si="157"/>
        <v>0</v>
      </c>
      <c r="G1605" s="16">
        <f ca="1" t="shared" si="156"/>
        <v>0</v>
      </c>
    </row>
    <row r="1606" spans="2:7">
      <c r="B1606" s="17" t="str">
        <f t="shared" si="155"/>
        <v>12/2029</v>
      </c>
      <c r="C1606" s="18">
        <f t="shared" si="152"/>
        <v>47461</v>
      </c>
      <c r="D1606" s="18" t="str">
        <f t="shared" si="153"/>
        <v>09/12/2029 a 15/12/2029</v>
      </c>
      <c r="E1606" s="16">
        <f t="shared" si="154"/>
        <v>7688</v>
      </c>
      <c r="F1606" s="16">
        <f ca="1" t="shared" si="157"/>
        <v>0</v>
      </c>
      <c r="G1606" s="16">
        <f ca="1" t="shared" si="156"/>
        <v>0</v>
      </c>
    </row>
    <row r="1607" spans="2:7">
      <c r="B1607" s="17" t="str">
        <f t="shared" si="155"/>
        <v>12/2029</v>
      </c>
      <c r="C1607" s="18">
        <f t="shared" si="152"/>
        <v>47461</v>
      </c>
      <c r="D1607" s="18" t="str">
        <f t="shared" si="153"/>
        <v>09/12/2029 a 15/12/2029</v>
      </c>
      <c r="E1607" s="16">
        <f t="shared" si="154"/>
        <v>7690</v>
      </c>
      <c r="F1607" s="16">
        <f ca="1" t="shared" si="157"/>
        <v>0</v>
      </c>
      <c r="G1607" s="16">
        <f ca="1" t="shared" si="156"/>
        <v>0</v>
      </c>
    </row>
    <row r="1608" spans="2:7">
      <c r="B1608" s="17" t="str">
        <f t="shared" si="155"/>
        <v>12/2029</v>
      </c>
      <c r="C1608" s="18">
        <f t="shared" si="152"/>
        <v>47461</v>
      </c>
      <c r="D1608" s="18" t="str">
        <f t="shared" si="153"/>
        <v>09/12/2029 a 15/12/2029</v>
      </c>
      <c r="E1608" s="16">
        <f t="shared" si="154"/>
        <v>7692</v>
      </c>
      <c r="F1608" s="16">
        <f ca="1" t="shared" si="157"/>
        <v>0</v>
      </c>
      <c r="G1608" s="16">
        <f ca="1" t="shared" si="156"/>
        <v>0</v>
      </c>
    </row>
    <row r="1609" spans="2:7">
      <c r="B1609" s="17" t="str">
        <f t="shared" si="155"/>
        <v>12/2029</v>
      </c>
      <c r="C1609" s="18">
        <f t="shared" si="152"/>
        <v>47461</v>
      </c>
      <c r="D1609" s="18" t="str">
        <f t="shared" si="153"/>
        <v>09/12/2029 a 15/12/2029</v>
      </c>
      <c r="E1609" s="16">
        <f t="shared" si="154"/>
        <v>7694</v>
      </c>
      <c r="F1609" s="16">
        <f ca="1" t="shared" si="157"/>
        <v>0</v>
      </c>
      <c r="G1609" s="16">
        <f ca="1" t="shared" si="156"/>
        <v>0</v>
      </c>
    </row>
    <row r="1610" spans="2:7">
      <c r="B1610" s="17" t="str">
        <f t="shared" si="155"/>
        <v>12/2029</v>
      </c>
      <c r="C1610" s="18">
        <f t="shared" si="152"/>
        <v>47468</v>
      </c>
      <c r="D1610" s="18" t="str">
        <f t="shared" si="153"/>
        <v>16/12/2029 a 22/12/2029</v>
      </c>
      <c r="E1610" s="16">
        <f>E1605+24</f>
        <v>7710</v>
      </c>
      <c r="F1610" s="16">
        <f ca="1" t="shared" si="157"/>
        <v>0</v>
      </c>
      <c r="G1610" s="16">
        <f ca="1" t="shared" si="156"/>
        <v>0</v>
      </c>
    </row>
    <row r="1611" spans="2:7">
      <c r="B1611" s="17" t="str">
        <f t="shared" si="155"/>
        <v>12/2029</v>
      </c>
      <c r="C1611" s="18">
        <f t="shared" si="152"/>
        <v>47468</v>
      </c>
      <c r="D1611" s="18" t="str">
        <f t="shared" si="153"/>
        <v>16/12/2029 a 22/12/2029</v>
      </c>
      <c r="E1611" s="16">
        <f t="shared" si="154"/>
        <v>7712</v>
      </c>
      <c r="F1611" s="16">
        <f ca="1" t="shared" si="157"/>
        <v>0</v>
      </c>
      <c r="G1611" s="16">
        <f ca="1" t="shared" si="156"/>
        <v>0</v>
      </c>
    </row>
    <row r="1612" spans="2:7">
      <c r="B1612" s="17" t="str">
        <f t="shared" si="155"/>
        <v>12/2029</v>
      </c>
      <c r="C1612" s="18">
        <f t="shared" si="152"/>
        <v>47468</v>
      </c>
      <c r="D1612" s="18" t="str">
        <f t="shared" si="153"/>
        <v>16/12/2029 a 22/12/2029</v>
      </c>
      <c r="E1612" s="16">
        <f t="shared" si="154"/>
        <v>7714</v>
      </c>
      <c r="F1612" s="16">
        <f ca="1" t="shared" si="157"/>
        <v>0</v>
      </c>
      <c r="G1612" s="16">
        <f ca="1" t="shared" si="156"/>
        <v>0</v>
      </c>
    </row>
    <row r="1613" spans="2:7">
      <c r="B1613" s="17" t="str">
        <f t="shared" si="155"/>
        <v>12/2029</v>
      </c>
      <c r="C1613" s="18">
        <f t="shared" si="152"/>
        <v>47468</v>
      </c>
      <c r="D1613" s="18" t="str">
        <f t="shared" si="153"/>
        <v>16/12/2029 a 22/12/2029</v>
      </c>
      <c r="E1613" s="16">
        <f t="shared" si="154"/>
        <v>7716</v>
      </c>
      <c r="F1613" s="16">
        <f ca="1" t="shared" si="157"/>
        <v>0</v>
      </c>
      <c r="G1613" s="16">
        <f ca="1" t="shared" si="156"/>
        <v>0</v>
      </c>
    </row>
    <row r="1614" spans="2:7">
      <c r="B1614" s="17" t="str">
        <f t="shared" si="155"/>
        <v>12/2029</v>
      </c>
      <c r="C1614" s="18">
        <f t="shared" si="152"/>
        <v>47468</v>
      </c>
      <c r="D1614" s="18" t="str">
        <f t="shared" si="153"/>
        <v>16/12/2029 a 22/12/2029</v>
      </c>
      <c r="E1614" s="16">
        <f t="shared" si="154"/>
        <v>7718</v>
      </c>
      <c r="F1614" s="16">
        <f ca="1" t="shared" si="157"/>
        <v>0</v>
      </c>
      <c r="G1614" s="16">
        <f ca="1" t="shared" si="156"/>
        <v>0</v>
      </c>
    </row>
    <row r="1615" spans="2:7">
      <c r="B1615" s="17" t="str">
        <f t="shared" si="155"/>
        <v>12/2029</v>
      </c>
      <c r="C1615" s="18">
        <f t="shared" si="152"/>
        <v>47475</v>
      </c>
      <c r="D1615" s="18" t="str">
        <f t="shared" si="153"/>
        <v>23/12/2029 a 29/12/2029</v>
      </c>
      <c r="E1615" s="16">
        <f>E1610+24</f>
        <v>7734</v>
      </c>
      <c r="F1615" s="16">
        <f ca="1" t="shared" si="157"/>
        <v>0</v>
      </c>
      <c r="G1615" s="16">
        <f ca="1" t="shared" si="156"/>
        <v>0</v>
      </c>
    </row>
    <row r="1616" spans="2:7">
      <c r="B1616" s="17" t="str">
        <f t="shared" si="155"/>
        <v>12/2029</v>
      </c>
      <c r="C1616" s="18">
        <f t="shared" si="152"/>
        <v>47475</v>
      </c>
      <c r="D1616" s="18" t="str">
        <f t="shared" si="153"/>
        <v>23/12/2029 a 29/12/2029</v>
      </c>
      <c r="E1616" s="16">
        <f t="shared" si="154"/>
        <v>7736</v>
      </c>
      <c r="F1616" s="16">
        <f ca="1" t="shared" si="157"/>
        <v>0</v>
      </c>
      <c r="G1616" s="16">
        <f ca="1" t="shared" si="156"/>
        <v>0</v>
      </c>
    </row>
    <row r="1617" spans="2:7">
      <c r="B1617" s="17" t="str">
        <f t="shared" si="155"/>
        <v>12/2029</v>
      </c>
      <c r="C1617" s="18">
        <f t="shared" si="152"/>
        <v>47475</v>
      </c>
      <c r="D1617" s="18" t="str">
        <f t="shared" si="153"/>
        <v>23/12/2029 a 29/12/2029</v>
      </c>
      <c r="E1617" s="16">
        <f t="shared" si="154"/>
        <v>7738</v>
      </c>
      <c r="F1617" s="16">
        <f ca="1" t="shared" si="157"/>
        <v>0</v>
      </c>
      <c r="G1617" s="16">
        <f ca="1" t="shared" si="156"/>
        <v>0</v>
      </c>
    </row>
    <row r="1618" spans="2:7">
      <c r="B1618" s="17" t="str">
        <f t="shared" si="155"/>
        <v>12/2029</v>
      </c>
      <c r="C1618" s="18">
        <f t="shared" ref="C1618:C1663" si="158">C1613+7</f>
        <v>47475</v>
      </c>
      <c r="D1618" s="18" t="str">
        <f t="shared" si="153"/>
        <v>23/12/2029 a 29/12/2029</v>
      </c>
      <c r="E1618" s="16">
        <f t="shared" si="154"/>
        <v>7740</v>
      </c>
      <c r="F1618" s="16">
        <f ca="1" t="shared" si="157"/>
        <v>0</v>
      </c>
      <c r="G1618" s="16">
        <f ca="1" t="shared" si="156"/>
        <v>0</v>
      </c>
    </row>
    <row r="1619" spans="2:7">
      <c r="B1619" s="17" t="str">
        <f t="shared" si="155"/>
        <v>12/2029</v>
      </c>
      <c r="C1619" s="18">
        <f t="shared" si="158"/>
        <v>47475</v>
      </c>
      <c r="D1619" s="18" t="str">
        <f t="shared" ref="D1619:D1663" si="159">TEXT((C1619),"DD/MM/AAAA")&amp;" a "&amp;TEXT((C1619+6),"DD/MM/AAAA")</f>
        <v>23/12/2029 a 29/12/2029</v>
      </c>
      <c r="E1619" s="16">
        <f t="shared" si="154"/>
        <v>7742</v>
      </c>
      <c r="F1619" s="16">
        <f ca="1" t="shared" si="157"/>
        <v>0</v>
      </c>
      <c r="G1619" s="16">
        <f ca="1" t="shared" si="156"/>
        <v>0</v>
      </c>
    </row>
    <row r="1620" spans="2:7">
      <c r="B1620" s="17" t="str">
        <f t="shared" si="155"/>
        <v>12/2029</v>
      </c>
      <c r="C1620" s="18">
        <f t="shared" si="158"/>
        <v>47482</v>
      </c>
      <c r="D1620" s="18" t="str">
        <f t="shared" si="159"/>
        <v>30/12/2029 a 05/01/2030</v>
      </c>
      <c r="E1620" s="16">
        <f>E1615+24</f>
        <v>7758</v>
      </c>
      <c r="F1620" s="16">
        <f ca="1" t="shared" si="157"/>
        <v>0</v>
      </c>
      <c r="G1620" s="16">
        <f ca="1" t="shared" si="156"/>
        <v>0</v>
      </c>
    </row>
    <row r="1621" spans="2:7">
      <c r="B1621" s="17" t="str">
        <f t="shared" si="155"/>
        <v>12/2029</v>
      </c>
      <c r="C1621" s="18">
        <f t="shared" si="158"/>
        <v>47482</v>
      </c>
      <c r="D1621" s="18" t="str">
        <f t="shared" si="159"/>
        <v>30/12/2029 a 05/01/2030</v>
      </c>
      <c r="E1621" s="16">
        <f t="shared" si="154"/>
        <v>7760</v>
      </c>
      <c r="F1621" s="16">
        <f ca="1" t="shared" si="157"/>
        <v>0</v>
      </c>
      <c r="G1621" s="16">
        <f ca="1" t="shared" si="156"/>
        <v>0</v>
      </c>
    </row>
    <row r="1622" spans="2:7">
      <c r="B1622" s="17" t="str">
        <f t="shared" si="155"/>
        <v>12/2029</v>
      </c>
      <c r="C1622" s="18">
        <f t="shared" si="158"/>
        <v>47482</v>
      </c>
      <c r="D1622" s="18" t="str">
        <f t="shared" si="159"/>
        <v>30/12/2029 a 05/01/2030</v>
      </c>
      <c r="E1622" s="16">
        <f t="shared" si="154"/>
        <v>7762</v>
      </c>
      <c r="F1622" s="16">
        <f ca="1" t="shared" si="157"/>
        <v>0</v>
      </c>
      <c r="G1622" s="16">
        <f ca="1" t="shared" si="156"/>
        <v>0</v>
      </c>
    </row>
    <row r="1623" spans="2:7">
      <c r="B1623" s="17" t="str">
        <f t="shared" si="155"/>
        <v>12/2029</v>
      </c>
      <c r="C1623" s="18">
        <f t="shared" si="158"/>
        <v>47482</v>
      </c>
      <c r="D1623" s="18" t="str">
        <f t="shared" si="159"/>
        <v>30/12/2029 a 05/01/2030</v>
      </c>
      <c r="E1623" s="16">
        <f t="shared" si="154"/>
        <v>7764</v>
      </c>
      <c r="F1623" s="16">
        <f ca="1" t="shared" si="157"/>
        <v>0</v>
      </c>
      <c r="G1623" s="16">
        <f ca="1" t="shared" si="156"/>
        <v>0</v>
      </c>
    </row>
    <row r="1624" spans="2:7">
      <c r="B1624" s="17" t="str">
        <f t="shared" si="155"/>
        <v>12/2029</v>
      </c>
      <c r="C1624" s="18">
        <f t="shared" si="158"/>
        <v>47482</v>
      </c>
      <c r="D1624" s="18" t="str">
        <f t="shared" si="159"/>
        <v>30/12/2029 a 05/01/2030</v>
      </c>
      <c r="E1624" s="16">
        <f t="shared" si="154"/>
        <v>7766</v>
      </c>
      <c r="F1624" s="16">
        <f ca="1" t="shared" si="157"/>
        <v>0</v>
      </c>
      <c r="G1624" s="16">
        <f ca="1" t="shared" si="156"/>
        <v>0</v>
      </c>
    </row>
    <row r="1625" spans="2:7">
      <c r="B1625" s="17" t="str">
        <f t="shared" si="155"/>
        <v>1/2030</v>
      </c>
      <c r="C1625" s="18">
        <f t="shared" si="158"/>
        <v>47489</v>
      </c>
      <c r="D1625" s="18" t="str">
        <f t="shared" si="159"/>
        <v>06/01/2030 a 12/01/2030</v>
      </c>
      <c r="E1625" s="16">
        <f>E1620+24</f>
        <v>7782</v>
      </c>
      <c r="F1625" s="16">
        <f ca="1" t="shared" si="157"/>
        <v>0</v>
      </c>
      <c r="G1625" s="16">
        <f ca="1" t="shared" si="156"/>
        <v>0</v>
      </c>
    </row>
    <row r="1626" spans="2:7">
      <c r="B1626" s="17" t="str">
        <f t="shared" si="155"/>
        <v>1/2030</v>
      </c>
      <c r="C1626" s="18">
        <f t="shared" si="158"/>
        <v>47489</v>
      </c>
      <c r="D1626" s="18" t="str">
        <f t="shared" si="159"/>
        <v>06/01/2030 a 12/01/2030</v>
      </c>
      <c r="E1626" s="16">
        <f t="shared" si="154"/>
        <v>7784</v>
      </c>
      <c r="F1626" s="16">
        <f ca="1" t="shared" si="157"/>
        <v>0</v>
      </c>
      <c r="G1626" s="16">
        <f ca="1" t="shared" si="156"/>
        <v>0</v>
      </c>
    </row>
    <row r="1627" spans="2:7">
      <c r="B1627" s="17" t="str">
        <f t="shared" si="155"/>
        <v>1/2030</v>
      </c>
      <c r="C1627" s="18">
        <f t="shared" si="158"/>
        <v>47489</v>
      </c>
      <c r="D1627" s="18" t="str">
        <f t="shared" si="159"/>
        <v>06/01/2030 a 12/01/2030</v>
      </c>
      <c r="E1627" s="16">
        <f t="shared" si="154"/>
        <v>7786</v>
      </c>
      <c r="F1627" s="16">
        <f ca="1" t="shared" si="157"/>
        <v>0</v>
      </c>
      <c r="G1627" s="16">
        <f ca="1" t="shared" si="156"/>
        <v>0</v>
      </c>
    </row>
    <row r="1628" spans="2:7">
      <c r="B1628" s="17" t="str">
        <f t="shared" si="155"/>
        <v>1/2030</v>
      </c>
      <c r="C1628" s="18">
        <f t="shared" si="158"/>
        <v>47489</v>
      </c>
      <c r="D1628" s="18" t="str">
        <f t="shared" si="159"/>
        <v>06/01/2030 a 12/01/2030</v>
      </c>
      <c r="E1628" s="16">
        <f t="shared" si="154"/>
        <v>7788</v>
      </c>
      <c r="F1628" s="16">
        <f ca="1" t="shared" si="157"/>
        <v>0</v>
      </c>
      <c r="G1628" s="16">
        <f ca="1" t="shared" si="156"/>
        <v>0</v>
      </c>
    </row>
    <row r="1629" spans="2:7">
      <c r="B1629" s="17" t="str">
        <f t="shared" si="155"/>
        <v>1/2030</v>
      </c>
      <c r="C1629" s="18">
        <f t="shared" si="158"/>
        <v>47489</v>
      </c>
      <c r="D1629" s="18" t="str">
        <f t="shared" si="159"/>
        <v>06/01/2030 a 12/01/2030</v>
      </c>
      <c r="E1629" s="16">
        <f t="shared" si="154"/>
        <v>7790</v>
      </c>
      <c r="F1629" s="16">
        <f ca="1" t="shared" si="157"/>
        <v>0</v>
      </c>
      <c r="G1629" s="16">
        <f ca="1" t="shared" si="156"/>
        <v>0</v>
      </c>
    </row>
    <row r="1630" spans="2:7">
      <c r="B1630" s="17" t="str">
        <f t="shared" si="155"/>
        <v>1/2030</v>
      </c>
      <c r="C1630" s="18">
        <f t="shared" si="158"/>
        <v>47496</v>
      </c>
      <c r="D1630" s="18" t="str">
        <f t="shared" si="159"/>
        <v>13/01/2030 a 19/01/2030</v>
      </c>
      <c r="E1630" s="16">
        <f>E1625+24</f>
        <v>7806</v>
      </c>
      <c r="F1630" s="16">
        <f ca="1" t="shared" si="157"/>
        <v>0</v>
      </c>
      <c r="G1630" s="16">
        <f ca="1" t="shared" si="156"/>
        <v>0</v>
      </c>
    </row>
    <row r="1631" spans="2:7">
      <c r="B1631" s="17" t="str">
        <f t="shared" si="155"/>
        <v>1/2030</v>
      </c>
      <c r="C1631" s="18">
        <f t="shared" si="158"/>
        <v>47496</v>
      </c>
      <c r="D1631" s="18" t="str">
        <f t="shared" si="159"/>
        <v>13/01/2030 a 19/01/2030</v>
      </c>
      <c r="E1631" s="16">
        <f t="shared" si="154"/>
        <v>7808</v>
      </c>
      <c r="F1631" s="16">
        <f ca="1" t="shared" si="157"/>
        <v>0</v>
      </c>
      <c r="G1631" s="16">
        <f ca="1" t="shared" si="156"/>
        <v>0</v>
      </c>
    </row>
    <row r="1632" spans="2:7">
      <c r="B1632" s="17" t="str">
        <f t="shared" si="155"/>
        <v>1/2030</v>
      </c>
      <c r="C1632" s="18">
        <f t="shared" si="158"/>
        <v>47496</v>
      </c>
      <c r="D1632" s="18" t="str">
        <f t="shared" si="159"/>
        <v>13/01/2030 a 19/01/2030</v>
      </c>
      <c r="E1632" s="16">
        <f t="shared" si="154"/>
        <v>7810</v>
      </c>
      <c r="F1632" s="16">
        <f ca="1" t="shared" si="157"/>
        <v>0</v>
      </c>
      <c r="G1632" s="16">
        <f ca="1" t="shared" si="156"/>
        <v>0</v>
      </c>
    </row>
    <row r="1633" spans="2:7">
      <c r="B1633" s="17" t="str">
        <f t="shared" si="155"/>
        <v>1/2030</v>
      </c>
      <c r="C1633" s="18">
        <f t="shared" si="158"/>
        <v>47496</v>
      </c>
      <c r="D1633" s="18" t="str">
        <f t="shared" si="159"/>
        <v>13/01/2030 a 19/01/2030</v>
      </c>
      <c r="E1633" s="16">
        <f t="shared" si="154"/>
        <v>7812</v>
      </c>
      <c r="F1633" s="16">
        <f ca="1" t="shared" si="157"/>
        <v>0</v>
      </c>
      <c r="G1633" s="16">
        <f ca="1" t="shared" si="156"/>
        <v>0</v>
      </c>
    </row>
    <row r="1634" spans="2:7">
      <c r="B1634" s="17" t="str">
        <f t="shared" si="155"/>
        <v>1/2030</v>
      </c>
      <c r="C1634" s="18">
        <f t="shared" si="158"/>
        <v>47496</v>
      </c>
      <c r="D1634" s="18" t="str">
        <f t="shared" si="159"/>
        <v>13/01/2030 a 19/01/2030</v>
      </c>
      <c r="E1634" s="16">
        <f t="shared" si="154"/>
        <v>7814</v>
      </c>
      <c r="F1634" s="16">
        <f ca="1" t="shared" si="157"/>
        <v>0</v>
      </c>
      <c r="G1634" s="16">
        <f ca="1" t="shared" si="156"/>
        <v>0</v>
      </c>
    </row>
    <row r="1635" spans="2:7">
      <c r="B1635" s="17" t="str">
        <f t="shared" si="155"/>
        <v>1/2030</v>
      </c>
      <c r="C1635" s="18">
        <f t="shared" si="158"/>
        <v>47503</v>
      </c>
      <c r="D1635" s="18" t="str">
        <f t="shared" si="159"/>
        <v>20/01/2030 a 26/01/2030</v>
      </c>
      <c r="E1635" s="16">
        <f>E1630+24</f>
        <v>7830</v>
      </c>
      <c r="F1635" s="16">
        <f ca="1" t="shared" si="157"/>
        <v>0</v>
      </c>
      <c r="G1635" s="16">
        <f ca="1" t="shared" si="156"/>
        <v>0</v>
      </c>
    </row>
    <row r="1636" spans="2:7">
      <c r="B1636" s="17" t="str">
        <f t="shared" si="155"/>
        <v>1/2030</v>
      </c>
      <c r="C1636" s="18">
        <f t="shared" si="158"/>
        <v>47503</v>
      </c>
      <c r="D1636" s="18" t="str">
        <f t="shared" si="159"/>
        <v>20/01/2030 a 26/01/2030</v>
      </c>
      <c r="E1636" s="16">
        <f t="shared" si="154"/>
        <v>7832</v>
      </c>
      <c r="F1636" s="16">
        <f ca="1" t="shared" si="157"/>
        <v>0</v>
      </c>
      <c r="G1636" s="16">
        <f ca="1" t="shared" si="156"/>
        <v>0</v>
      </c>
    </row>
    <row r="1637" spans="2:7">
      <c r="B1637" s="17" t="str">
        <f t="shared" si="155"/>
        <v>1/2030</v>
      </c>
      <c r="C1637" s="18">
        <f t="shared" si="158"/>
        <v>47503</v>
      </c>
      <c r="D1637" s="18" t="str">
        <f t="shared" si="159"/>
        <v>20/01/2030 a 26/01/2030</v>
      </c>
      <c r="E1637" s="16">
        <f t="shared" si="154"/>
        <v>7834</v>
      </c>
      <c r="F1637" s="16">
        <f ca="1" t="shared" si="157"/>
        <v>0</v>
      </c>
      <c r="G1637" s="16">
        <f ca="1" t="shared" si="156"/>
        <v>0</v>
      </c>
    </row>
    <row r="1638" spans="2:7">
      <c r="B1638" s="17" t="str">
        <f t="shared" si="155"/>
        <v>1/2030</v>
      </c>
      <c r="C1638" s="18">
        <f t="shared" si="158"/>
        <v>47503</v>
      </c>
      <c r="D1638" s="18" t="str">
        <f t="shared" si="159"/>
        <v>20/01/2030 a 26/01/2030</v>
      </c>
      <c r="E1638" s="16">
        <f t="shared" si="154"/>
        <v>7836</v>
      </c>
      <c r="F1638" s="16">
        <f ca="1" t="shared" si="157"/>
        <v>0</v>
      </c>
      <c r="G1638" s="16">
        <f ca="1" t="shared" si="156"/>
        <v>0</v>
      </c>
    </row>
    <row r="1639" spans="2:7">
      <c r="B1639" s="17" t="str">
        <f t="shared" si="155"/>
        <v>1/2030</v>
      </c>
      <c r="C1639" s="18">
        <f t="shared" si="158"/>
        <v>47503</v>
      </c>
      <c r="D1639" s="18" t="str">
        <f t="shared" si="159"/>
        <v>20/01/2030 a 26/01/2030</v>
      </c>
      <c r="E1639" s="16">
        <f t="shared" si="154"/>
        <v>7838</v>
      </c>
      <c r="F1639" s="16">
        <f ca="1" t="shared" si="157"/>
        <v>0</v>
      </c>
      <c r="G1639" s="16">
        <f ca="1" t="shared" si="156"/>
        <v>0</v>
      </c>
    </row>
    <row r="1640" spans="2:7">
      <c r="B1640" s="17" t="str">
        <f t="shared" si="155"/>
        <v>1/2030</v>
      </c>
      <c r="C1640" s="18">
        <f t="shared" si="158"/>
        <v>47510</v>
      </c>
      <c r="D1640" s="18" t="str">
        <f t="shared" si="159"/>
        <v>27/01/2030 a 02/02/2030</v>
      </c>
      <c r="E1640" s="16">
        <f>E1635+24</f>
        <v>7854</v>
      </c>
      <c r="F1640" s="16">
        <f ca="1" t="shared" si="157"/>
        <v>0</v>
      </c>
      <c r="G1640" s="16">
        <f ca="1" t="shared" si="156"/>
        <v>0</v>
      </c>
    </row>
    <row r="1641" spans="2:7">
      <c r="B1641" s="17" t="str">
        <f t="shared" si="155"/>
        <v>1/2030</v>
      </c>
      <c r="C1641" s="18">
        <f t="shared" si="158"/>
        <v>47510</v>
      </c>
      <c r="D1641" s="18" t="str">
        <f t="shared" si="159"/>
        <v>27/01/2030 a 02/02/2030</v>
      </c>
      <c r="E1641" s="16">
        <f t="shared" si="154"/>
        <v>7856</v>
      </c>
      <c r="F1641" s="16">
        <f ca="1" t="shared" si="157"/>
        <v>0</v>
      </c>
      <c r="G1641" s="16">
        <f ca="1" t="shared" si="156"/>
        <v>0</v>
      </c>
    </row>
    <row r="1642" spans="2:7">
      <c r="B1642" s="17" t="str">
        <f t="shared" si="155"/>
        <v>1/2030</v>
      </c>
      <c r="C1642" s="18">
        <f t="shared" si="158"/>
        <v>47510</v>
      </c>
      <c r="D1642" s="18" t="str">
        <f t="shared" si="159"/>
        <v>27/01/2030 a 02/02/2030</v>
      </c>
      <c r="E1642" s="16">
        <f t="shared" si="154"/>
        <v>7858</v>
      </c>
      <c r="F1642" s="16">
        <f ca="1" t="shared" si="157"/>
        <v>0</v>
      </c>
      <c r="G1642" s="16">
        <f ca="1" t="shared" si="156"/>
        <v>0</v>
      </c>
    </row>
    <row r="1643" spans="2:7">
      <c r="B1643" s="17" t="str">
        <f t="shared" si="155"/>
        <v>1/2030</v>
      </c>
      <c r="C1643" s="18">
        <f t="shared" si="158"/>
        <v>47510</v>
      </c>
      <c r="D1643" s="18" t="str">
        <f t="shared" si="159"/>
        <v>27/01/2030 a 02/02/2030</v>
      </c>
      <c r="E1643" s="16">
        <f t="shared" si="154"/>
        <v>7860</v>
      </c>
      <c r="F1643" s="16">
        <f ca="1" t="shared" si="157"/>
        <v>0</v>
      </c>
      <c r="G1643" s="16">
        <f ca="1" t="shared" si="156"/>
        <v>0</v>
      </c>
    </row>
    <row r="1644" spans="2:7">
      <c r="B1644" s="17" t="str">
        <f t="shared" si="155"/>
        <v>1/2030</v>
      </c>
      <c r="C1644" s="18">
        <f t="shared" si="158"/>
        <v>47510</v>
      </c>
      <c r="D1644" s="18" t="str">
        <f t="shared" si="159"/>
        <v>27/01/2030 a 02/02/2030</v>
      </c>
      <c r="E1644" s="16">
        <f t="shared" si="154"/>
        <v>7862</v>
      </c>
      <c r="F1644" s="16">
        <f ca="1" t="shared" si="157"/>
        <v>0</v>
      </c>
      <c r="G1644" s="16">
        <f ca="1" t="shared" si="156"/>
        <v>0</v>
      </c>
    </row>
    <row r="1645" spans="2:7">
      <c r="B1645" s="17" t="str">
        <f t="shared" si="155"/>
        <v>2/2030</v>
      </c>
      <c r="C1645" s="18">
        <f t="shared" si="158"/>
        <v>47517</v>
      </c>
      <c r="D1645" s="18" t="str">
        <f t="shared" si="159"/>
        <v>03/02/2030 a 09/02/2030</v>
      </c>
      <c r="E1645" s="16">
        <f>E1640+24</f>
        <v>7878</v>
      </c>
      <c r="F1645" s="16">
        <f ca="1" t="shared" si="157"/>
        <v>0</v>
      </c>
      <c r="G1645" s="16">
        <f ca="1" t="shared" si="156"/>
        <v>0</v>
      </c>
    </row>
    <row r="1646" spans="2:7">
      <c r="B1646" s="17" t="str">
        <f t="shared" si="155"/>
        <v>2/2030</v>
      </c>
      <c r="C1646" s="18">
        <f t="shared" si="158"/>
        <v>47517</v>
      </c>
      <c r="D1646" s="18" t="str">
        <f t="shared" si="159"/>
        <v>03/02/2030 a 09/02/2030</v>
      </c>
      <c r="E1646" s="16">
        <f t="shared" si="154"/>
        <v>7880</v>
      </c>
      <c r="F1646" s="16">
        <f ca="1" t="shared" si="157"/>
        <v>0</v>
      </c>
      <c r="G1646" s="16">
        <f ca="1" t="shared" si="156"/>
        <v>0</v>
      </c>
    </row>
    <row r="1647" spans="2:7">
      <c r="B1647" s="17" t="str">
        <f t="shared" si="155"/>
        <v>2/2030</v>
      </c>
      <c r="C1647" s="18">
        <f t="shared" si="158"/>
        <v>47517</v>
      </c>
      <c r="D1647" s="18" t="str">
        <f t="shared" si="159"/>
        <v>03/02/2030 a 09/02/2030</v>
      </c>
      <c r="E1647" s="16">
        <f t="shared" si="154"/>
        <v>7882</v>
      </c>
      <c r="F1647" s="16">
        <f ca="1" t="shared" si="157"/>
        <v>0</v>
      </c>
      <c r="G1647" s="16">
        <f ca="1" t="shared" si="156"/>
        <v>0</v>
      </c>
    </row>
    <row r="1648" spans="2:7">
      <c r="B1648" s="17" t="str">
        <f t="shared" si="155"/>
        <v>2/2030</v>
      </c>
      <c r="C1648" s="18">
        <f t="shared" si="158"/>
        <v>47517</v>
      </c>
      <c r="D1648" s="18" t="str">
        <f t="shared" si="159"/>
        <v>03/02/2030 a 09/02/2030</v>
      </c>
      <c r="E1648" s="16">
        <f t="shared" si="154"/>
        <v>7884</v>
      </c>
      <c r="F1648" s="16">
        <f ca="1" t="shared" si="157"/>
        <v>0</v>
      </c>
      <c r="G1648" s="16">
        <f ca="1" t="shared" si="156"/>
        <v>0</v>
      </c>
    </row>
    <row r="1649" spans="2:7">
      <c r="B1649" s="17" t="str">
        <f t="shared" si="155"/>
        <v>2/2030</v>
      </c>
      <c r="C1649" s="18">
        <f t="shared" si="158"/>
        <v>47517</v>
      </c>
      <c r="D1649" s="18" t="str">
        <f t="shared" si="159"/>
        <v>03/02/2030 a 09/02/2030</v>
      </c>
      <c r="E1649" s="16">
        <f t="shared" si="154"/>
        <v>7886</v>
      </c>
      <c r="F1649" s="16">
        <f ca="1" t="shared" si="157"/>
        <v>0</v>
      </c>
      <c r="G1649" s="16">
        <f ca="1" t="shared" si="156"/>
        <v>0</v>
      </c>
    </row>
    <row r="1650" spans="2:7">
      <c r="B1650" s="17" t="str">
        <f t="shared" si="155"/>
        <v>2/2030</v>
      </c>
      <c r="C1650" s="18">
        <f t="shared" si="158"/>
        <v>47524</v>
      </c>
      <c r="D1650" s="18" t="str">
        <f t="shared" si="159"/>
        <v>10/02/2030 a 16/02/2030</v>
      </c>
      <c r="E1650" s="16">
        <f>E1645+24</f>
        <v>7902</v>
      </c>
      <c r="F1650" s="16">
        <f ca="1" t="shared" si="157"/>
        <v>0</v>
      </c>
      <c r="G1650" s="16">
        <f ca="1" t="shared" si="156"/>
        <v>0</v>
      </c>
    </row>
    <row r="1651" spans="2:7">
      <c r="B1651" s="17" t="str">
        <f t="shared" si="155"/>
        <v>2/2030</v>
      </c>
      <c r="C1651" s="18">
        <f t="shared" si="158"/>
        <v>47524</v>
      </c>
      <c r="D1651" s="18" t="str">
        <f t="shared" si="159"/>
        <v>10/02/2030 a 16/02/2030</v>
      </c>
      <c r="E1651" s="16">
        <f t="shared" ref="E1651:E1663" si="160">E1650+2</f>
        <v>7904</v>
      </c>
      <c r="F1651" s="16">
        <f ca="1" t="shared" si="157"/>
        <v>0</v>
      </c>
      <c r="G1651" s="16">
        <f ca="1" t="shared" si="156"/>
        <v>0</v>
      </c>
    </row>
    <row r="1652" spans="2:7">
      <c r="B1652" s="17" t="str">
        <f t="shared" si="155"/>
        <v>2/2030</v>
      </c>
      <c r="C1652" s="18">
        <f t="shared" si="158"/>
        <v>47524</v>
      </c>
      <c r="D1652" s="18" t="str">
        <f t="shared" si="159"/>
        <v>10/02/2030 a 16/02/2030</v>
      </c>
      <c r="E1652" s="16">
        <f t="shared" si="160"/>
        <v>7906</v>
      </c>
      <c r="F1652" s="16">
        <f ca="1" t="shared" si="157"/>
        <v>0</v>
      </c>
      <c r="G1652" s="16">
        <f ca="1" t="shared" si="156"/>
        <v>0</v>
      </c>
    </row>
    <row r="1653" spans="2:7">
      <c r="B1653" s="17" t="str">
        <f t="shared" si="155"/>
        <v>2/2030</v>
      </c>
      <c r="C1653" s="18">
        <f t="shared" si="158"/>
        <v>47524</v>
      </c>
      <c r="D1653" s="18" t="str">
        <f t="shared" si="159"/>
        <v>10/02/2030 a 16/02/2030</v>
      </c>
      <c r="E1653" s="16">
        <f t="shared" si="160"/>
        <v>7908</v>
      </c>
      <c r="F1653" s="16">
        <f ca="1" t="shared" si="157"/>
        <v>0</v>
      </c>
      <c r="G1653" s="16">
        <f ca="1" t="shared" si="156"/>
        <v>0</v>
      </c>
    </row>
    <row r="1654" spans="2:7">
      <c r="B1654" s="17" t="str">
        <f t="shared" si="155"/>
        <v>2/2030</v>
      </c>
      <c r="C1654" s="18">
        <f t="shared" si="158"/>
        <v>47524</v>
      </c>
      <c r="D1654" s="18" t="str">
        <f t="shared" si="159"/>
        <v>10/02/2030 a 16/02/2030</v>
      </c>
      <c r="E1654" s="16">
        <f t="shared" si="160"/>
        <v>7910</v>
      </c>
      <c r="F1654" s="16">
        <f ca="1" t="shared" si="157"/>
        <v>0</v>
      </c>
      <c r="G1654" s="16">
        <f ca="1" t="shared" si="156"/>
        <v>0</v>
      </c>
    </row>
    <row r="1655" spans="2:7">
      <c r="B1655" s="17" t="str">
        <f t="shared" si="155"/>
        <v>2/2030</v>
      </c>
      <c r="C1655" s="18">
        <f t="shared" si="158"/>
        <v>47531</v>
      </c>
      <c r="D1655" s="18" t="str">
        <f t="shared" si="159"/>
        <v>17/02/2030 a 23/02/2030</v>
      </c>
      <c r="E1655" s="16">
        <f>E1650+24</f>
        <v>7926</v>
      </c>
      <c r="F1655" s="16">
        <f ca="1" t="shared" si="157"/>
        <v>0</v>
      </c>
      <c r="G1655" s="16">
        <f ca="1" t="shared" si="156"/>
        <v>0</v>
      </c>
    </row>
    <row r="1656" spans="2:7">
      <c r="B1656" s="17" t="str">
        <f t="shared" si="155"/>
        <v>2/2030</v>
      </c>
      <c r="C1656" s="18">
        <f t="shared" si="158"/>
        <v>47531</v>
      </c>
      <c r="D1656" s="18" t="str">
        <f t="shared" si="159"/>
        <v>17/02/2030 a 23/02/2030</v>
      </c>
      <c r="E1656" s="16">
        <f t="shared" si="160"/>
        <v>7928</v>
      </c>
      <c r="F1656" s="16">
        <f ca="1" t="shared" si="157"/>
        <v>0</v>
      </c>
      <c r="G1656" s="16">
        <f ca="1" t="shared" si="156"/>
        <v>0</v>
      </c>
    </row>
    <row r="1657" spans="2:7">
      <c r="B1657" s="17" t="str">
        <f t="shared" ref="B1657:B1663" si="161">MONTH(C1657)&amp;"/"&amp;YEAR(C1657)</f>
        <v>2/2030</v>
      </c>
      <c r="C1657" s="18">
        <f t="shared" si="158"/>
        <v>47531</v>
      </c>
      <c r="D1657" s="18" t="str">
        <f t="shared" si="159"/>
        <v>17/02/2030 a 23/02/2030</v>
      </c>
      <c r="E1657" s="16">
        <f t="shared" si="160"/>
        <v>7930</v>
      </c>
      <c r="F1657" s="16">
        <f ca="1" t="shared" si="157"/>
        <v>0</v>
      </c>
      <c r="G1657" s="16">
        <f ca="1" t="shared" ref="G1657:G1663" si="162">INDIRECT("'Diário'!J"&amp;E1657)</f>
        <v>0</v>
      </c>
    </row>
    <row r="1658" spans="2:7">
      <c r="B1658" s="17" t="str">
        <f t="shared" si="161"/>
        <v>2/2030</v>
      </c>
      <c r="C1658" s="18">
        <f t="shared" si="158"/>
        <v>47531</v>
      </c>
      <c r="D1658" s="18" t="str">
        <f t="shared" si="159"/>
        <v>17/02/2030 a 23/02/2030</v>
      </c>
      <c r="E1658" s="16">
        <f t="shared" si="160"/>
        <v>7932</v>
      </c>
      <c r="F1658" s="16">
        <f ca="1" t="shared" si="157"/>
        <v>0</v>
      </c>
      <c r="G1658" s="16">
        <f ca="1" t="shared" si="162"/>
        <v>0</v>
      </c>
    </row>
    <row r="1659" spans="2:7">
      <c r="B1659" s="17" t="str">
        <f t="shared" si="161"/>
        <v>2/2030</v>
      </c>
      <c r="C1659" s="18">
        <f t="shared" si="158"/>
        <v>47531</v>
      </c>
      <c r="D1659" s="18" t="str">
        <f t="shared" si="159"/>
        <v>17/02/2030 a 23/02/2030</v>
      </c>
      <c r="E1659" s="16">
        <f t="shared" si="160"/>
        <v>7934</v>
      </c>
      <c r="F1659" s="16">
        <f ca="1" t="shared" si="157"/>
        <v>0</v>
      </c>
      <c r="G1659" s="16">
        <f ca="1" t="shared" si="162"/>
        <v>0</v>
      </c>
    </row>
    <row r="1660" spans="2:7">
      <c r="B1660" s="17" t="str">
        <f t="shared" si="161"/>
        <v>2/2030</v>
      </c>
      <c r="C1660" s="18">
        <f t="shared" si="158"/>
        <v>47538</v>
      </c>
      <c r="D1660" s="18" t="str">
        <f t="shared" si="159"/>
        <v>24/02/2030 a 02/03/2030</v>
      </c>
      <c r="E1660" s="16">
        <f>E1655+24</f>
        <v>7950</v>
      </c>
      <c r="F1660" s="16">
        <f ca="1" t="shared" si="157"/>
        <v>0</v>
      </c>
      <c r="G1660" s="16">
        <f ca="1" t="shared" si="162"/>
        <v>0</v>
      </c>
    </row>
    <row r="1661" spans="2:7">
      <c r="B1661" s="17" t="str">
        <f t="shared" si="161"/>
        <v>2/2030</v>
      </c>
      <c r="C1661" s="18">
        <f t="shared" si="158"/>
        <v>47538</v>
      </c>
      <c r="D1661" s="18" t="str">
        <f t="shared" si="159"/>
        <v>24/02/2030 a 02/03/2030</v>
      </c>
      <c r="E1661" s="16">
        <f t="shared" si="160"/>
        <v>7952</v>
      </c>
      <c r="F1661" s="16">
        <f ca="1" t="shared" si="157"/>
        <v>0</v>
      </c>
      <c r="G1661" s="16">
        <f ca="1" t="shared" si="162"/>
        <v>0</v>
      </c>
    </row>
    <row r="1662" spans="2:7">
      <c r="B1662" s="17" t="str">
        <f t="shared" si="161"/>
        <v>2/2030</v>
      </c>
      <c r="C1662" s="18">
        <f t="shared" si="158"/>
        <v>47538</v>
      </c>
      <c r="D1662" s="18" t="str">
        <f t="shared" si="159"/>
        <v>24/02/2030 a 02/03/2030</v>
      </c>
      <c r="E1662" s="16">
        <f t="shared" si="160"/>
        <v>7954</v>
      </c>
      <c r="F1662" s="16">
        <f ca="1">INDIRECT("Diário!I"&amp;E1662)</f>
        <v>0</v>
      </c>
      <c r="G1662" s="16">
        <f ca="1" t="shared" si="162"/>
        <v>0</v>
      </c>
    </row>
    <row r="1663" spans="2:7">
      <c r="B1663" s="17" t="str">
        <f t="shared" si="161"/>
        <v>2/2030</v>
      </c>
      <c r="C1663" s="18">
        <f t="shared" si="158"/>
        <v>47538</v>
      </c>
      <c r="D1663" s="18" t="str">
        <f t="shared" si="159"/>
        <v>24/02/2030 a 02/03/2030</v>
      </c>
      <c r="E1663" s="16">
        <f t="shared" si="160"/>
        <v>7956</v>
      </c>
      <c r="F1663" s="16">
        <f ca="1">INDIRECT("Diário!I"&amp;E1663)</f>
        <v>0</v>
      </c>
      <c r="G1663" s="16">
        <f ca="1" t="shared" si="162"/>
        <v>0</v>
      </c>
    </row>
  </sheetData>
  <pageMargins left="0.511811024" right="0.511811024" top="0.787401575" bottom="0.787401575" header="0.31496062" footer="0.31496062"/>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9:AO108"/>
  <sheetViews>
    <sheetView workbookViewId="0">
      <selection activeCell="I36" sqref="I36"/>
    </sheetView>
  </sheetViews>
  <sheetFormatPr defaultColWidth="18.1428571428571" defaultRowHeight="15"/>
  <cols>
    <col min="1" max="1" width="20.1428571428571" customWidth="1"/>
    <col min="2" max="2" width="19.5714285714286" customWidth="1"/>
    <col min="3" max="3" width="11.7142857142857" customWidth="1"/>
    <col min="4" max="4" width="10.2857142857143" customWidth="1"/>
    <col min="5" max="5" width="11.8571428571429" customWidth="1"/>
    <col min="6" max="6" width="10.7142857142857" customWidth="1"/>
    <col min="7" max="7" width="19.4285714285714" customWidth="1"/>
    <col min="8" max="8" width="25.1428571428571" customWidth="1"/>
    <col min="9" max="9" width="26.4285714285714" customWidth="1"/>
    <col min="10" max="10" width="19.5714285714286" customWidth="1"/>
    <col min="11" max="12" width="10.7142857142857" customWidth="1"/>
    <col min="13" max="13" width="20.1428571428571" customWidth="1"/>
    <col min="14" max="14" width="19.5714285714286" customWidth="1"/>
    <col min="15" max="15" width="11.7142857142857" customWidth="1"/>
    <col min="16" max="16" width="10.2857142857143" customWidth="1"/>
    <col min="17" max="17" width="11.8571428571429" customWidth="1"/>
    <col min="18" max="18" width="10.7142857142857" customWidth="1"/>
    <col min="19" max="35" width="3" customWidth="1"/>
    <col min="36" max="36" width="20.1428571428571" customWidth="1"/>
    <col min="37" max="37" width="19.5714285714286" customWidth="1"/>
    <col min="38" max="38" width="11.7142857142857" customWidth="1"/>
    <col min="39" max="39" width="10.2857142857143" customWidth="1"/>
    <col min="40" max="40" width="11.8571428571429" customWidth="1"/>
    <col min="41" max="41" width="10.7142857142857" customWidth="1"/>
    <col min="42" max="52" width="3" customWidth="1"/>
    <col min="53" max="53" width="7" customWidth="1"/>
    <col min="54" max="54" width="10.7142857142857" customWidth="1"/>
    <col min="55" max="55" width="2" customWidth="1"/>
    <col min="56" max="56" width="16.7142857142857" customWidth="1"/>
    <col min="57" max="57" width="12.1428571428571" customWidth="1"/>
    <col min="58" max="58" width="3" customWidth="1"/>
    <col min="59" max="59" width="15.2857142857143" customWidth="1"/>
    <col min="60" max="60" width="10.7142857142857" customWidth="1"/>
    <col min="61" max="61" width="20.1428571428571" customWidth="1"/>
    <col min="62" max="62" width="19.4285714285714" customWidth="1"/>
    <col min="63" max="63" width="20.1428571428571" customWidth="1"/>
    <col min="64" max="64" width="19.4285714285714" customWidth="1"/>
    <col min="65" max="65" width="20.1428571428571" customWidth="1"/>
    <col min="66" max="66" width="19.4285714285714" customWidth="1"/>
    <col min="67" max="67" width="20.1428571428571" customWidth="1"/>
    <col min="68" max="68" width="19.4285714285714" customWidth="1"/>
    <col min="69" max="69" width="20.1428571428571" customWidth="1"/>
    <col min="70" max="70" width="19.4285714285714" customWidth="1"/>
    <col min="71" max="71" width="20.1428571428571" customWidth="1"/>
    <col min="72" max="72" width="19.4285714285714" customWidth="1"/>
    <col min="73" max="73" width="20.1428571428571" customWidth="1"/>
    <col min="74" max="74" width="19.4285714285714" customWidth="1"/>
    <col min="75" max="75" width="20.1428571428571" customWidth="1"/>
    <col min="76" max="76" width="19.4285714285714" customWidth="1"/>
    <col min="77" max="77" width="20.1428571428571" customWidth="1"/>
    <col min="78" max="78" width="19.4285714285714" customWidth="1"/>
    <col min="79" max="79" width="20.1428571428571" customWidth="1"/>
    <col min="80" max="80" width="19.4285714285714" customWidth="1"/>
    <col min="81" max="81" width="20.1428571428571" customWidth="1"/>
    <col min="82" max="82" width="19.4285714285714" customWidth="1"/>
    <col min="83" max="83" width="20.1428571428571" customWidth="1"/>
    <col min="84" max="84" width="19.4285714285714" customWidth="1"/>
    <col min="85" max="85" width="20.1428571428571" customWidth="1"/>
    <col min="86" max="86" width="19.4285714285714" customWidth="1"/>
    <col min="87" max="87" width="20.1428571428571" customWidth="1"/>
    <col min="88" max="88" width="19.4285714285714" customWidth="1"/>
    <col min="89" max="89" width="20.1428571428571" customWidth="1"/>
    <col min="90" max="90" width="19.4285714285714" customWidth="1"/>
    <col min="91" max="91" width="20.1428571428571" customWidth="1"/>
    <col min="92" max="92" width="19.4285714285714" customWidth="1"/>
    <col min="93" max="93" width="20.1428571428571" customWidth="1"/>
    <col min="94" max="94" width="19.4285714285714" customWidth="1"/>
    <col min="95" max="95" width="20.1428571428571" customWidth="1"/>
    <col min="96" max="96" width="19.4285714285714" customWidth="1"/>
    <col min="97" max="97" width="20.1428571428571" customWidth="1"/>
    <col min="98" max="98" width="19.4285714285714" customWidth="1"/>
    <col min="99" max="99" width="20.1428571428571" customWidth="1"/>
    <col min="100" max="100" width="19.4285714285714" customWidth="1"/>
    <col min="101" max="101" width="20.1428571428571" customWidth="1"/>
    <col min="102" max="102" width="19.4285714285714" customWidth="1"/>
    <col min="103" max="103" width="20.1428571428571" customWidth="1"/>
    <col min="104" max="104" width="19.4285714285714" customWidth="1"/>
    <col min="105" max="105" width="20.1428571428571" customWidth="1"/>
    <col min="106" max="106" width="24.4285714285714" customWidth="1"/>
    <col min="107" max="107" width="25.1428571428571" customWidth="1"/>
  </cols>
  <sheetData>
    <row r="29" spans="1:2">
      <c r="A29" t="s">
        <v>30</v>
      </c>
      <c r="B29" t="s">
        <v>425</v>
      </c>
    </row>
    <row r="31" spans="1:37">
      <c r="A31" t="s">
        <v>426</v>
      </c>
      <c r="B31" t="s">
        <v>427</v>
      </c>
      <c r="M31" t="s">
        <v>426</v>
      </c>
      <c r="N31" t="s">
        <v>427</v>
      </c>
      <c r="AJ31" t="s">
        <v>426</v>
      </c>
      <c r="AK31" t="s">
        <v>427</v>
      </c>
    </row>
    <row r="32" spans="1:41">
      <c r="A32" t="s">
        <v>428</v>
      </c>
      <c r="B32" t="s">
        <v>12</v>
      </c>
      <c r="C32" t="s">
        <v>1</v>
      </c>
      <c r="D32" t="s">
        <v>6</v>
      </c>
      <c r="E32" t="s">
        <v>17</v>
      </c>
      <c r="F32" t="s">
        <v>429</v>
      </c>
      <c r="M32" t="s">
        <v>428</v>
      </c>
      <c r="N32" t="s">
        <v>12</v>
      </c>
      <c r="O32" t="s">
        <v>1</v>
      </c>
      <c r="P32" t="s">
        <v>6</v>
      </c>
      <c r="Q32" t="s">
        <v>17</v>
      </c>
      <c r="R32" t="s">
        <v>429</v>
      </c>
      <c r="AJ32" t="s">
        <v>428</v>
      </c>
      <c r="AK32" t="s">
        <v>12</v>
      </c>
      <c r="AL32" t="s">
        <v>1</v>
      </c>
      <c r="AM32" t="s">
        <v>6</v>
      </c>
      <c r="AN32" t="s">
        <v>17</v>
      </c>
      <c r="AO32" t="s">
        <v>429</v>
      </c>
    </row>
    <row r="33" spans="1:41">
      <c r="A33" s="11" t="s">
        <v>16</v>
      </c>
      <c r="B33" s="3">
        <v>0.372549019607843</v>
      </c>
      <c r="C33" s="3">
        <v>0.0784313725490196</v>
      </c>
      <c r="D33" s="3">
        <v>0.313725490196078</v>
      </c>
      <c r="E33" s="3">
        <v>0.235294117647059</v>
      </c>
      <c r="F33" s="3">
        <v>1</v>
      </c>
      <c r="I33" t="s">
        <v>416</v>
      </c>
      <c r="J33" t="s">
        <v>430</v>
      </c>
      <c r="M33" s="11" t="s">
        <v>431</v>
      </c>
      <c r="N33" s="3"/>
      <c r="O33" s="3"/>
      <c r="P33" s="3"/>
      <c r="Q33" s="3"/>
      <c r="R33" s="3"/>
      <c r="AJ33" s="11" t="s">
        <v>431</v>
      </c>
      <c r="AK33" s="15"/>
      <c r="AL33" s="15"/>
      <c r="AM33" s="15"/>
      <c r="AN33" s="15"/>
      <c r="AO33" s="15"/>
    </row>
    <row r="34" spans="1:41">
      <c r="A34" s="12" t="s">
        <v>7</v>
      </c>
      <c r="B34" s="3">
        <v>0.222222222222222</v>
      </c>
      <c r="C34" s="3">
        <v>0.111111111111111</v>
      </c>
      <c r="D34" s="3">
        <v>0.333333333333333</v>
      </c>
      <c r="E34" s="3">
        <v>0.333333333333333</v>
      </c>
      <c r="F34" s="3">
        <v>1</v>
      </c>
      <c r="M34" s="12" t="s">
        <v>432</v>
      </c>
      <c r="N34" s="3">
        <v>0</v>
      </c>
      <c r="O34" s="3">
        <v>0.25</v>
      </c>
      <c r="P34" s="3">
        <v>0.75</v>
      </c>
      <c r="Q34" s="3">
        <v>0</v>
      </c>
      <c r="R34" s="3">
        <v>1</v>
      </c>
      <c r="AJ34" s="12" t="s">
        <v>7</v>
      </c>
      <c r="AK34" s="15">
        <v>0</v>
      </c>
      <c r="AL34" s="15">
        <v>0.583333333333333</v>
      </c>
      <c r="AM34" s="15">
        <v>0.416666666666667</v>
      </c>
      <c r="AN34" s="15">
        <v>0</v>
      </c>
      <c r="AO34" s="15">
        <v>1</v>
      </c>
    </row>
    <row r="35" spans="1:41">
      <c r="A35" s="12" t="s">
        <v>13</v>
      </c>
      <c r="B35" s="3">
        <v>0.6</v>
      </c>
      <c r="C35" s="3">
        <v>0.0666666666666667</v>
      </c>
      <c r="D35" s="3">
        <v>0.133333333333333</v>
      </c>
      <c r="E35" s="3">
        <v>0.2</v>
      </c>
      <c r="F35" s="3">
        <v>1</v>
      </c>
      <c r="I35" t="s">
        <v>433</v>
      </c>
      <c r="J35" t="s">
        <v>427</v>
      </c>
      <c r="M35" s="13" t="s">
        <v>7</v>
      </c>
      <c r="N35" s="3">
        <v>0</v>
      </c>
      <c r="O35" s="3">
        <v>0.666666666666667</v>
      </c>
      <c r="P35" s="3">
        <v>0.333333333333333</v>
      </c>
      <c r="Q35" s="3">
        <v>0</v>
      </c>
      <c r="R35" s="3">
        <v>1</v>
      </c>
      <c r="AJ35" s="12" t="s">
        <v>13</v>
      </c>
      <c r="AK35" s="15">
        <v>0</v>
      </c>
      <c r="AL35" s="15">
        <v>0.166666666666667</v>
      </c>
      <c r="AM35" s="15">
        <v>0.833333333333333</v>
      </c>
      <c r="AN35" s="15">
        <v>0</v>
      </c>
      <c r="AO35" s="15">
        <v>1</v>
      </c>
    </row>
    <row r="36" spans="1:41">
      <c r="A36" s="12" t="s">
        <v>2</v>
      </c>
      <c r="B36" s="3">
        <v>0.25</v>
      </c>
      <c r="C36" s="3">
        <v>0.0416666666666667</v>
      </c>
      <c r="D36" s="3">
        <v>0.458333333333333</v>
      </c>
      <c r="E36" s="3">
        <v>0.25</v>
      </c>
      <c r="F36" s="3">
        <v>1</v>
      </c>
      <c r="I36" t="s">
        <v>428</v>
      </c>
      <c r="J36">
        <v>0</v>
      </c>
      <c r="K36" t="s">
        <v>429</v>
      </c>
      <c r="M36" s="13" t="s">
        <v>13</v>
      </c>
      <c r="N36" s="3">
        <v>0</v>
      </c>
      <c r="O36" s="3">
        <v>0.0909090909090909</v>
      </c>
      <c r="P36" s="3">
        <v>0.909090909090909</v>
      </c>
      <c r="Q36" s="3">
        <v>0</v>
      </c>
      <c r="R36" s="3">
        <v>1</v>
      </c>
      <c r="AJ36" s="12" t="s">
        <v>2</v>
      </c>
      <c r="AK36" s="15">
        <v>0</v>
      </c>
      <c r="AL36" s="15">
        <v>0.111111111111111</v>
      </c>
      <c r="AM36" s="15">
        <v>0.888888888888889</v>
      </c>
      <c r="AN36" s="15">
        <v>0</v>
      </c>
      <c r="AO36" s="15">
        <v>1</v>
      </c>
    </row>
    <row r="37" spans="1:41">
      <c r="A37" s="12" t="s">
        <v>18</v>
      </c>
      <c r="B37" s="3">
        <v>0.666666666666667</v>
      </c>
      <c r="C37" s="3">
        <v>0.333333333333333</v>
      </c>
      <c r="D37" s="3">
        <v>0</v>
      </c>
      <c r="E37" s="3">
        <v>0</v>
      </c>
      <c r="F37" s="3">
        <v>1</v>
      </c>
      <c r="I37" s="14" t="s">
        <v>434</v>
      </c>
      <c r="J37" s="3"/>
      <c r="K37" s="3"/>
      <c r="M37" s="13" t="s">
        <v>2</v>
      </c>
      <c r="N37" s="3">
        <v>0</v>
      </c>
      <c r="O37" s="3">
        <v>0</v>
      </c>
      <c r="P37" s="3">
        <v>1</v>
      </c>
      <c r="Q37" s="3">
        <v>0</v>
      </c>
      <c r="R37" s="3">
        <v>1</v>
      </c>
      <c r="AJ37" s="12" t="s">
        <v>18</v>
      </c>
      <c r="AK37" s="15">
        <v>0</v>
      </c>
      <c r="AL37" s="15">
        <v>1</v>
      </c>
      <c r="AM37" s="15">
        <v>0</v>
      </c>
      <c r="AN37" s="15">
        <v>0</v>
      </c>
      <c r="AO37" s="15">
        <v>1</v>
      </c>
    </row>
    <row r="38" spans="1:41">
      <c r="A38" s="11" t="s">
        <v>5</v>
      </c>
      <c r="B38" s="3">
        <v>1</v>
      </c>
      <c r="C38" s="3">
        <v>0</v>
      </c>
      <c r="D38" s="3">
        <v>0</v>
      </c>
      <c r="E38" s="3">
        <v>0</v>
      </c>
      <c r="F38" s="3">
        <v>1</v>
      </c>
      <c r="I38" s="12" t="s">
        <v>435</v>
      </c>
      <c r="J38" s="3">
        <v>1</v>
      </c>
      <c r="K38" s="3">
        <v>1</v>
      </c>
      <c r="M38" s="12" t="s">
        <v>436</v>
      </c>
      <c r="N38" s="3">
        <v>0</v>
      </c>
      <c r="O38" s="3">
        <v>0.666666666666667</v>
      </c>
      <c r="P38" s="3">
        <v>0.333333333333333</v>
      </c>
      <c r="Q38" s="3">
        <v>0</v>
      </c>
      <c r="R38" s="3">
        <v>1</v>
      </c>
      <c r="AJ38" s="11" t="s">
        <v>437</v>
      </c>
      <c r="AK38" s="15"/>
      <c r="AL38" s="15"/>
      <c r="AM38" s="15"/>
      <c r="AN38" s="15"/>
      <c r="AO38" s="15"/>
    </row>
    <row r="39" spans="1:41">
      <c r="A39" s="12" t="s">
        <v>7</v>
      </c>
      <c r="B39" s="3">
        <v>1</v>
      </c>
      <c r="C39" s="3">
        <v>0</v>
      </c>
      <c r="D39" s="3">
        <v>0</v>
      </c>
      <c r="E39" s="3">
        <v>0</v>
      </c>
      <c r="F39" s="3">
        <v>1</v>
      </c>
      <c r="I39" s="12" t="s">
        <v>438</v>
      </c>
      <c r="J39" s="3">
        <v>1</v>
      </c>
      <c r="K39" s="3">
        <v>1</v>
      </c>
      <c r="M39" s="13" t="s">
        <v>7</v>
      </c>
      <c r="N39" s="3">
        <v>0</v>
      </c>
      <c r="O39" s="3">
        <v>0.333333333333333</v>
      </c>
      <c r="P39" s="3">
        <v>0.666666666666667</v>
      </c>
      <c r="Q39" s="3">
        <v>0</v>
      </c>
      <c r="R39" s="3">
        <v>1</v>
      </c>
      <c r="AJ39" s="12" t="s">
        <v>7</v>
      </c>
      <c r="AK39" s="15">
        <v>0.5625</v>
      </c>
      <c r="AL39" s="15">
        <v>0.0625</v>
      </c>
      <c r="AM39" s="15">
        <v>0.125</v>
      </c>
      <c r="AN39" s="15">
        <v>0.25</v>
      </c>
      <c r="AO39" s="15">
        <v>1</v>
      </c>
    </row>
    <row r="40" spans="1:41">
      <c r="A40" s="12" t="s">
        <v>13</v>
      </c>
      <c r="B40" s="3">
        <v>1</v>
      </c>
      <c r="C40" s="3">
        <v>0</v>
      </c>
      <c r="D40" s="3">
        <v>0</v>
      </c>
      <c r="E40" s="3">
        <v>0</v>
      </c>
      <c r="F40" s="3">
        <v>1</v>
      </c>
      <c r="I40" s="12" t="s">
        <v>439</v>
      </c>
      <c r="J40" s="3">
        <v>1</v>
      </c>
      <c r="K40" s="3">
        <v>1</v>
      </c>
      <c r="M40" s="13" t="s">
        <v>13</v>
      </c>
      <c r="N40" s="3">
        <v>0</v>
      </c>
      <c r="O40" s="3">
        <v>1</v>
      </c>
      <c r="P40" s="3">
        <v>0</v>
      </c>
      <c r="Q40" s="3">
        <v>0</v>
      </c>
      <c r="R40" s="3">
        <v>1</v>
      </c>
      <c r="AJ40" s="12" t="s">
        <v>13</v>
      </c>
      <c r="AK40" s="15">
        <v>0.545454545454545</v>
      </c>
      <c r="AL40" s="15">
        <v>0.151515151515152</v>
      </c>
      <c r="AM40" s="15">
        <v>0.212121212121212</v>
      </c>
      <c r="AN40" s="15">
        <v>0.0909090909090909</v>
      </c>
      <c r="AO40" s="15">
        <v>1</v>
      </c>
    </row>
    <row r="41" spans="1:41">
      <c r="A41" s="12" t="s">
        <v>2</v>
      </c>
      <c r="B41" s="3">
        <v>1</v>
      </c>
      <c r="C41" s="3">
        <v>0</v>
      </c>
      <c r="D41" s="3">
        <v>0</v>
      </c>
      <c r="E41" s="3">
        <v>0</v>
      </c>
      <c r="F41" s="3">
        <v>1</v>
      </c>
      <c r="I41" s="12" t="s">
        <v>440</v>
      </c>
      <c r="J41" s="3">
        <v>1</v>
      </c>
      <c r="K41" s="3">
        <v>1</v>
      </c>
      <c r="M41" s="13" t="s">
        <v>2</v>
      </c>
      <c r="N41" s="3">
        <v>0</v>
      </c>
      <c r="O41" s="3">
        <v>1</v>
      </c>
      <c r="P41" s="3">
        <v>0</v>
      </c>
      <c r="Q41" s="3">
        <v>0</v>
      </c>
      <c r="R41" s="3">
        <v>1</v>
      </c>
      <c r="AJ41" s="12" t="s">
        <v>2</v>
      </c>
      <c r="AK41" s="15">
        <v>0.450980392156863</v>
      </c>
      <c r="AL41" s="15">
        <v>0.137254901960784</v>
      </c>
      <c r="AM41" s="15">
        <v>0.274509803921569</v>
      </c>
      <c r="AN41" s="15">
        <v>0.137254901960784</v>
      </c>
      <c r="AO41" s="15">
        <v>1</v>
      </c>
    </row>
    <row r="42" spans="1:41">
      <c r="A42" s="12" t="s">
        <v>18</v>
      </c>
      <c r="B42" s="3">
        <v>1</v>
      </c>
      <c r="C42" s="3">
        <v>0</v>
      </c>
      <c r="D42" s="3">
        <v>0</v>
      </c>
      <c r="E42" s="3">
        <v>0</v>
      </c>
      <c r="F42" s="3">
        <v>1</v>
      </c>
      <c r="I42" s="14" t="s">
        <v>441</v>
      </c>
      <c r="J42" s="3"/>
      <c r="K42" s="3"/>
      <c r="M42" s="13" t="s">
        <v>18</v>
      </c>
      <c r="N42" s="3">
        <v>0</v>
      </c>
      <c r="O42" s="3">
        <v>1</v>
      </c>
      <c r="P42" s="3">
        <v>0</v>
      </c>
      <c r="Q42" s="3">
        <v>0</v>
      </c>
      <c r="R42" s="3">
        <v>1</v>
      </c>
      <c r="AJ42" s="12" t="s">
        <v>18</v>
      </c>
      <c r="AK42" s="15">
        <v>0.75</v>
      </c>
      <c r="AL42" s="15">
        <v>0.25</v>
      </c>
      <c r="AM42" s="15">
        <v>0</v>
      </c>
      <c r="AN42" s="15">
        <v>0</v>
      </c>
      <c r="AO42" s="15">
        <v>1</v>
      </c>
    </row>
    <row r="43" spans="1:41">
      <c r="A43" s="11" t="s">
        <v>11</v>
      </c>
      <c r="B43" s="3">
        <v>1</v>
      </c>
      <c r="C43" s="3">
        <v>0</v>
      </c>
      <c r="D43" s="3">
        <v>0</v>
      </c>
      <c r="E43" s="3">
        <v>0</v>
      </c>
      <c r="F43" s="3">
        <v>1</v>
      </c>
      <c r="I43" s="12" t="s">
        <v>373</v>
      </c>
      <c r="J43" s="3">
        <v>1</v>
      </c>
      <c r="K43" s="3">
        <v>1</v>
      </c>
      <c r="M43" s="11" t="s">
        <v>437</v>
      </c>
      <c r="N43" s="3"/>
      <c r="O43" s="3"/>
      <c r="P43" s="3"/>
      <c r="Q43" s="3"/>
      <c r="R43" s="3"/>
      <c r="AJ43" s="11" t="s">
        <v>442</v>
      </c>
      <c r="AK43" s="15"/>
      <c r="AL43" s="15"/>
      <c r="AM43" s="15"/>
      <c r="AN43" s="15"/>
      <c r="AO43" s="15"/>
    </row>
    <row r="44" spans="1:41">
      <c r="A44" s="12" t="s">
        <v>7</v>
      </c>
      <c r="B44" s="3">
        <v>1</v>
      </c>
      <c r="C44" s="3">
        <v>0</v>
      </c>
      <c r="D44" s="3">
        <v>0</v>
      </c>
      <c r="E44" s="3">
        <v>0</v>
      </c>
      <c r="F44" s="3">
        <v>1</v>
      </c>
      <c r="I44" s="12" t="s">
        <v>402</v>
      </c>
      <c r="J44" s="3">
        <v>1</v>
      </c>
      <c r="K44" s="3">
        <v>1</v>
      </c>
      <c r="M44" s="12" t="s">
        <v>443</v>
      </c>
      <c r="N44" s="3">
        <v>0</v>
      </c>
      <c r="O44" s="3">
        <v>0.56</v>
      </c>
      <c r="P44" s="3">
        <v>0.36</v>
      </c>
      <c r="Q44" s="3">
        <v>0.08</v>
      </c>
      <c r="R44" s="3">
        <v>1</v>
      </c>
      <c r="AJ44" s="12" t="s">
        <v>7</v>
      </c>
      <c r="AK44" s="15">
        <v>1</v>
      </c>
      <c r="AL44" s="15">
        <v>0</v>
      </c>
      <c r="AM44" s="15">
        <v>0</v>
      </c>
      <c r="AN44" s="15">
        <v>0</v>
      </c>
      <c r="AO44" s="15">
        <v>1</v>
      </c>
    </row>
    <row r="45" spans="1:41">
      <c r="A45" s="12" t="s">
        <v>13</v>
      </c>
      <c r="B45" s="3">
        <v>1</v>
      </c>
      <c r="C45" s="3">
        <v>0</v>
      </c>
      <c r="D45" s="3">
        <v>0</v>
      </c>
      <c r="E45" s="3">
        <v>0</v>
      </c>
      <c r="F45" s="3">
        <v>1</v>
      </c>
      <c r="I45" s="14" t="s">
        <v>444</v>
      </c>
      <c r="J45" s="3"/>
      <c r="K45" s="3"/>
      <c r="M45" s="13" t="s">
        <v>7</v>
      </c>
      <c r="N45" s="3">
        <v>0</v>
      </c>
      <c r="O45" s="3">
        <v>0.333333333333333</v>
      </c>
      <c r="P45" s="3">
        <v>0.333333333333333</v>
      </c>
      <c r="Q45" s="3">
        <v>0.333333333333333</v>
      </c>
      <c r="R45" s="3">
        <v>1</v>
      </c>
      <c r="AJ45" s="12" t="s">
        <v>13</v>
      </c>
      <c r="AK45" s="15">
        <v>1</v>
      </c>
      <c r="AL45" s="15">
        <v>0</v>
      </c>
      <c r="AM45" s="15">
        <v>0</v>
      </c>
      <c r="AN45" s="15">
        <v>0</v>
      </c>
      <c r="AO45" s="15">
        <v>1</v>
      </c>
    </row>
    <row r="46" spans="1:41">
      <c r="A46" s="12" t="s">
        <v>2</v>
      </c>
      <c r="B46" s="3">
        <v>1</v>
      </c>
      <c r="C46" s="3">
        <v>0</v>
      </c>
      <c r="D46" s="3">
        <v>0</v>
      </c>
      <c r="E46" s="3">
        <v>0</v>
      </c>
      <c r="F46" s="3">
        <v>1</v>
      </c>
      <c r="I46" s="12" t="s">
        <v>405</v>
      </c>
      <c r="J46" s="3">
        <v>1</v>
      </c>
      <c r="K46" s="3">
        <v>1</v>
      </c>
      <c r="M46" s="13" t="s">
        <v>13</v>
      </c>
      <c r="N46" s="3">
        <v>0</v>
      </c>
      <c r="O46" s="3">
        <v>0.5</v>
      </c>
      <c r="P46" s="3">
        <v>0.5</v>
      </c>
      <c r="Q46" s="3">
        <v>0</v>
      </c>
      <c r="R46" s="3">
        <v>1</v>
      </c>
      <c r="AJ46" s="12" t="s">
        <v>2</v>
      </c>
      <c r="AK46" s="15">
        <v>1</v>
      </c>
      <c r="AL46" s="15">
        <v>0</v>
      </c>
      <c r="AM46" s="15">
        <v>0</v>
      </c>
      <c r="AN46" s="15">
        <v>0</v>
      </c>
      <c r="AO46" s="15">
        <v>1</v>
      </c>
    </row>
    <row r="47" spans="1:41">
      <c r="A47" s="12" t="s">
        <v>18</v>
      </c>
      <c r="B47" s="3">
        <v>1</v>
      </c>
      <c r="C47" s="3">
        <v>0</v>
      </c>
      <c r="D47" s="3">
        <v>0</v>
      </c>
      <c r="E47" s="3">
        <v>0</v>
      </c>
      <c r="F47" s="3">
        <v>1</v>
      </c>
      <c r="I47" s="12" t="s">
        <v>412</v>
      </c>
      <c r="J47" s="3">
        <v>1</v>
      </c>
      <c r="K47" s="3">
        <v>1</v>
      </c>
      <c r="M47" s="13" t="s">
        <v>2</v>
      </c>
      <c r="N47" s="3">
        <v>0</v>
      </c>
      <c r="O47" s="3">
        <v>0.636363636363636</v>
      </c>
      <c r="P47" s="3">
        <v>0.272727272727273</v>
      </c>
      <c r="Q47" s="3">
        <v>0.0909090909090909</v>
      </c>
      <c r="R47" s="3">
        <v>1</v>
      </c>
      <c r="AJ47" s="12" t="s">
        <v>18</v>
      </c>
      <c r="AK47" s="15">
        <v>1</v>
      </c>
      <c r="AL47" s="15">
        <v>0</v>
      </c>
      <c r="AM47" s="15">
        <v>0</v>
      </c>
      <c r="AN47" s="15">
        <v>0</v>
      </c>
      <c r="AO47" s="15">
        <v>1</v>
      </c>
    </row>
    <row r="48" spans="1:41">
      <c r="A48" s="11" t="s">
        <v>24</v>
      </c>
      <c r="B48" s="3">
        <v>0.0625</v>
      </c>
      <c r="C48" s="3">
        <v>0.1875</v>
      </c>
      <c r="D48" s="3">
        <v>0.75</v>
      </c>
      <c r="E48" s="3">
        <v>0</v>
      </c>
      <c r="F48" s="3">
        <v>1</v>
      </c>
      <c r="I48" s="12" t="s">
        <v>413</v>
      </c>
      <c r="J48" s="3">
        <v>1</v>
      </c>
      <c r="K48" s="3">
        <v>1</v>
      </c>
      <c r="M48" s="13" t="s">
        <v>18</v>
      </c>
      <c r="N48" s="3">
        <v>0</v>
      </c>
      <c r="O48" s="3">
        <v>1</v>
      </c>
      <c r="P48" s="3">
        <v>0</v>
      </c>
      <c r="Q48" s="3">
        <v>0</v>
      </c>
      <c r="R48" s="3">
        <v>1</v>
      </c>
      <c r="AJ48" s="11" t="s">
        <v>445</v>
      </c>
      <c r="AK48" s="15"/>
      <c r="AL48" s="15"/>
      <c r="AM48" s="15"/>
      <c r="AN48" s="15"/>
      <c r="AO48" s="15"/>
    </row>
    <row r="49" spans="1:41">
      <c r="A49" s="12" t="s">
        <v>7</v>
      </c>
      <c r="B49" s="3">
        <v>0</v>
      </c>
      <c r="C49" s="3">
        <v>0.5</v>
      </c>
      <c r="D49" s="3">
        <v>0.5</v>
      </c>
      <c r="E49" s="3">
        <v>0</v>
      </c>
      <c r="F49" s="3">
        <v>1</v>
      </c>
      <c r="I49" s="12" t="s">
        <v>415</v>
      </c>
      <c r="J49" s="3">
        <v>1</v>
      </c>
      <c r="K49" s="3">
        <v>1</v>
      </c>
      <c r="M49" s="12" t="s">
        <v>446</v>
      </c>
      <c r="N49" s="3">
        <v>0</v>
      </c>
      <c r="O49" s="3">
        <v>0</v>
      </c>
      <c r="P49" s="3">
        <v>0.933333333333333</v>
      </c>
      <c r="Q49" s="3">
        <v>0.0666666666666667</v>
      </c>
      <c r="R49" s="3">
        <v>1</v>
      </c>
      <c r="AJ49" s="12" t="s">
        <v>13</v>
      </c>
      <c r="AK49" s="15">
        <v>1</v>
      </c>
      <c r="AL49" s="15">
        <v>0</v>
      </c>
      <c r="AM49" s="15">
        <v>0</v>
      </c>
      <c r="AN49" s="15">
        <v>0</v>
      </c>
      <c r="AO49" s="15">
        <v>1</v>
      </c>
    </row>
    <row r="50" spans="1:41">
      <c r="A50" s="12" t="s">
        <v>13</v>
      </c>
      <c r="B50" s="3">
        <v>0</v>
      </c>
      <c r="C50" s="3">
        <v>0.142857142857143</v>
      </c>
      <c r="D50" s="3">
        <v>0.857142857142857</v>
      </c>
      <c r="E50" s="3">
        <v>0</v>
      </c>
      <c r="F50" s="3">
        <v>1</v>
      </c>
      <c r="I50" s="14" t="s">
        <v>436</v>
      </c>
      <c r="J50" s="3"/>
      <c r="K50" s="3"/>
      <c r="M50" s="13" t="s">
        <v>7</v>
      </c>
      <c r="N50" s="3">
        <v>0</v>
      </c>
      <c r="O50" s="3">
        <v>0</v>
      </c>
      <c r="P50" s="3">
        <v>1</v>
      </c>
      <c r="Q50" s="3">
        <v>0</v>
      </c>
      <c r="R50" s="3">
        <v>1</v>
      </c>
      <c r="AJ50" s="12" t="s">
        <v>2</v>
      </c>
      <c r="AK50" s="15">
        <v>1</v>
      </c>
      <c r="AL50" s="15">
        <v>0</v>
      </c>
      <c r="AM50" s="15">
        <v>0</v>
      </c>
      <c r="AN50" s="15">
        <v>0</v>
      </c>
      <c r="AO50" s="15">
        <v>1</v>
      </c>
    </row>
    <row r="51" spans="1:41">
      <c r="A51" s="12" t="s">
        <v>2</v>
      </c>
      <c r="B51" s="3">
        <v>0.2</v>
      </c>
      <c r="C51" s="3">
        <v>0</v>
      </c>
      <c r="D51" s="3">
        <v>0.8</v>
      </c>
      <c r="E51" s="3">
        <v>0</v>
      </c>
      <c r="F51" s="3">
        <v>1</v>
      </c>
      <c r="I51" s="12" t="s">
        <v>447</v>
      </c>
      <c r="J51" s="3">
        <v>1</v>
      </c>
      <c r="K51" s="3">
        <v>1</v>
      </c>
      <c r="M51" s="13" t="s">
        <v>13</v>
      </c>
      <c r="N51" s="3">
        <v>0</v>
      </c>
      <c r="O51" s="3">
        <v>0</v>
      </c>
      <c r="P51" s="3">
        <v>0.666666666666667</v>
      </c>
      <c r="Q51" s="3">
        <v>0.333333333333333</v>
      </c>
      <c r="R51" s="3">
        <v>1</v>
      </c>
      <c r="AJ51" s="11" t="s">
        <v>448</v>
      </c>
      <c r="AK51" s="15"/>
      <c r="AL51" s="15"/>
      <c r="AM51" s="15"/>
      <c r="AN51" s="15"/>
      <c r="AO51" s="15"/>
    </row>
    <row r="52" spans="1:41">
      <c r="A52" s="11" t="s">
        <v>25</v>
      </c>
      <c r="B52" s="3">
        <v>1</v>
      </c>
      <c r="C52" s="3">
        <v>0</v>
      </c>
      <c r="D52" s="3">
        <v>0</v>
      </c>
      <c r="E52" s="3">
        <v>0</v>
      </c>
      <c r="F52" s="3">
        <v>1</v>
      </c>
      <c r="I52" s="12" t="s">
        <v>449</v>
      </c>
      <c r="J52" s="3">
        <v>1</v>
      </c>
      <c r="K52" s="3">
        <v>1</v>
      </c>
      <c r="M52" s="13" t="s">
        <v>2</v>
      </c>
      <c r="N52" s="3">
        <v>0</v>
      </c>
      <c r="O52" s="3">
        <v>0</v>
      </c>
      <c r="P52" s="3">
        <v>1</v>
      </c>
      <c r="Q52" s="3">
        <v>0</v>
      </c>
      <c r="R52" s="3">
        <v>1</v>
      </c>
      <c r="AJ52" s="12" t="s">
        <v>7</v>
      </c>
      <c r="AK52" s="15">
        <v>1</v>
      </c>
      <c r="AL52" s="15">
        <v>0</v>
      </c>
      <c r="AM52" s="15">
        <v>0</v>
      </c>
      <c r="AN52" s="15">
        <v>0</v>
      </c>
      <c r="AO52" s="15">
        <v>1</v>
      </c>
    </row>
    <row r="53" spans="1:41">
      <c r="A53" s="12" t="s">
        <v>2</v>
      </c>
      <c r="B53" s="3">
        <v>1</v>
      </c>
      <c r="C53" s="3">
        <v>0</v>
      </c>
      <c r="D53" s="3">
        <v>0</v>
      </c>
      <c r="E53" s="3">
        <v>0</v>
      </c>
      <c r="F53" s="3">
        <v>1</v>
      </c>
      <c r="I53" s="12" t="s">
        <v>450</v>
      </c>
      <c r="J53" s="3">
        <v>1</v>
      </c>
      <c r="K53" s="3">
        <v>1</v>
      </c>
      <c r="M53" s="12" t="s">
        <v>441</v>
      </c>
      <c r="N53" s="3">
        <v>1</v>
      </c>
      <c r="O53" s="3">
        <v>0</v>
      </c>
      <c r="P53" s="3">
        <v>0</v>
      </c>
      <c r="Q53" s="3">
        <v>0</v>
      </c>
      <c r="R53" s="3">
        <v>1</v>
      </c>
      <c r="AJ53" s="12" t="s">
        <v>13</v>
      </c>
      <c r="AK53" s="15">
        <v>1</v>
      </c>
      <c r="AL53" s="15">
        <v>0</v>
      </c>
      <c r="AM53" s="15">
        <v>0</v>
      </c>
      <c r="AN53" s="15">
        <v>0</v>
      </c>
      <c r="AO53" s="15">
        <v>1</v>
      </c>
    </row>
    <row r="54" spans="1:41">
      <c r="A54" s="11" t="s">
        <v>21</v>
      </c>
      <c r="B54" s="3">
        <v>0.602941176470588</v>
      </c>
      <c r="C54" s="3">
        <v>0.147058823529412</v>
      </c>
      <c r="D54" s="3">
        <v>0.220588235294118</v>
      </c>
      <c r="E54" s="3">
        <v>0.0294117647058824</v>
      </c>
      <c r="F54" s="3">
        <v>1</v>
      </c>
      <c r="I54" s="12" t="s">
        <v>451</v>
      </c>
      <c r="J54" s="3">
        <v>1</v>
      </c>
      <c r="K54" s="3">
        <v>1</v>
      </c>
      <c r="M54" s="13" t="s">
        <v>7</v>
      </c>
      <c r="N54" s="3">
        <v>1</v>
      </c>
      <c r="O54" s="3">
        <v>0</v>
      </c>
      <c r="P54" s="3">
        <v>0</v>
      </c>
      <c r="Q54" s="3">
        <v>0</v>
      </c>
      <c r="R54" s="3">
        <v>1</v>
      </c>
      <c r="AJ54" s="12" t="s">
        <v>2</v>
      </c>
      <c r="AK54" s="15">
        <v>1</v>
      </c>
      <c r="AL54" s="15">
        <v>0</v>
      </c>
      <c r="AM54" s="15">
        <v>0</v>
      </c>
      <c r="AN54" s="15">
        <v>0</v>
      </c>
      <c r="AO54" s="15">
        <v>1</v>
      </c>
    </row>
    <row r="55" spans="1:41">
      <c r="A55" s="12" t="s">
        <v>7</v>
      </c>
      <c r="B55" s="3">
        <v>0.461538461538462</v>
      </c>
      <c r="C55" s="3">
        <v>0.307692307692308</v>
      </c>
      <c r="D55" s="3">
        <v>0.153846153846154</v>
      </c>
      <c r="E55" s="3">
        <v>0.0769230769230769</v>
      </c>
      <c r="F55" s="3">
        <v>1</v>
      </c>
      <c r="I55" s="12" t="s">
        <v>452</v>
      </c>
      <c r="J55" s="3">
        <v>1</v>
      </c>
      <c r="K55" s="3">
        <v>1</v>
      </c>
      <c r="M55" s="13" t="s">
        <v>13</v>
      </c>
      <c r="N55" s="3">
        <v>1</v>
      </c>
      <c r="O55" s="3">
        <v>0</v>
      </c>
      <c r="P55" s="3">
        <v>0</v>
      </c>
      <c r="Q55" s="3">
        <v>0</v>
      </c>
      <c r="R55" s="3">
        <v>1</v>
      </c>
      <c r="AJ55" s="12" t="s">
        <v>18</v>
      </c>
      <c r="AK55" s="15">
        <v>1</v>
      </c>
      <c r="AL55" s="15">
        <v>0</v>
      </c>
      <c r="AM55" s="15">
        <v>0</v>
      </c>
      <c r="AN55" s="15">
        <v>0</v>
      </c>
      <c r="AO55" s="15">
        <v>1</v>
      </c>
    </row>
    <row r="56" spans="1:41">
      <c r="A56" s="12" t="s">
        <v>13</v>
      </c>
      <c r="B56" s="3">
        <v>0.529411764705882</v>
      </c>
      <c r="C56" s="3">
        <v>0.117647058823529</v>
      </c>
      <c r="D56" s="3">
        <v>0.352941176470588</v>
      </c>
      <c r="E56" s="3">
        <v>0</v>
      </c>
      <c r="F56" s="3">
        <v>1</v>
      </c>
      <c r="I56" s="14" t="s">
        <v>429</v>
      </c>
      <c r="J56" s="3">
        <v>1</v>
      </c>
      <c r="K56" s="3">
        <v>1</v>
      </c>
      <c r="M56" s="13" t="s">
        <v>2</v>
      </c>
      <c r="N56" s="3">
        <v>1</v>
      </c>
      <c r="O56" s="3">
        <v>0</v>
      </c>
      <c r="P56" s="3">
        <v>0</v>
      </c>
      <c r="Q56" s="3">
        <v>0</v>
      </c>
      <c r="R56" s="3">
        <v>1</v>
      </c>
      <c r="AJ56" s="11" t="s">
        <v>429</v>
      </c>
      <c r="AK56" s="15">
        <v>0.599056603773585</v>
      </c>
      <c r="AL56" s="15">
        <v>0.117924528301887</v>
      </c>
      <c r="AM56" s="15">
        <v>0.216981132075472</v>
      </c>
      <c r="AN56" s="15">
        <v>0.0660377358490566</v>
      </c>
      <c r="AO56" s="15">
        <v>1</v>
      </c>
    </row>
    <row r="57" spans="1:18">
      <c r="A57" s="12" t="s">
        <v>2</v>
      </c>
      <c r="B57" s="3">
        <v>0.694444444444444</v>
      </c>
      <c r="C57" s="3">
        <v>0.0833333333333333</v>
      </c>
      <c r="D57" s="3">
        <v>0.194444444444444</v>
      </c>
      <c r="E57" s="3">
        <v>0.0277777777777778</v>
      </c>
      <c r="F57" s="3">
        <v>1</v>
      </c>
      <c r="M57" s="13" t="s">
        <v>18</v>
      </c>
      <c r="N57" s="3">
        <v>1</v>
      </c>
      <c r="O57" s="3">
        <v>0</v>
      </c>
      <c r="P57" s="3">
        <v>0</v>
      </c>
      <c r="Q57" s="3">
        <v>0</v>
      </c>
      <c r="R57" s="3">
        <v>1</v>
      </c>
    </row>
    <row r="58" spans="1:18">
      <c r="A58" s="12" t="s">
        <v>18</v>
      </c>
      <c r="B58" s="3">
        <v>0.5</v>
      </c>
      <c r="C58" s="3">
        <v>0.5</v>
      </c>
      <c r="D58" s="3">
        <v>0</v>
      </c>
      <c r="E58" s="3">
        <v>0</v>
      </c>
      <c r="F58" s="3">
        <v>1</v>
      </c>
      <c r="M58" s="12" t="s">
        <v>444</v>
      </c>
      <c r="N58" s="3">
        <v>1</v>
      </c>
      <c r="O58" s="3">
        <v>0</v>
      </c>
      <c r="P58" s="3">
        <v>0</v>
      </c>
      <c r="Q58" s="3">
        <v>0</v>
      </c>
      <c r="R58" s="3">
        <v>1</v>
      </c>
    </row>
    <row r="59" spans="1:18">
      <c r="A59" s="11" t="s">
        <v>34</v>
      </c>
      <c r="B59" s="3">
        <v>0.476190476190476</v>
      </c>
      <c r="C59" s="3">
        <v>0.380952380952381</v>
      </c>
      <c r="D59" s="3">
        <v>0.142857142857143</v>
      </c>
      <c r="E59" s="3">
        <v>0</v>
      </c>
      <c r="F59" s="3">
        <v>1</v>
      </c>
      <c r="M59" s="13" t="s">
        <v>7</v>
      </c>
      <c r="N59" s="3">
        <v>1</v>
      </c>
      <c r="O59" s="3">
        <v>0</v>
      </c>
      <c r="P59" s="3">
        <v>0</v>
      </c>
      <c r="Q59" s="3">
        <v>0</v>
      </c>
      <c r="R59" s="3">
        <v>1</v>
      </c>
    </row>
    <row r="60" spans="1:18">
      <c r="A60" s="12" t="s">
        <v>7</v>
      </c>
      <c r="B60" s="3">
        <v>0.75</v>
      </c>
      <c r="C60" s="3">
        <v>0.25</v>
      </c>
      <c r="D60" s="3">
        <v>0</v>
      </c>
      <c r="E60" s="3">
        <v>0</v>
      </c>
      <c r="F60" s="3">
        <v>1</v>
      </c>
      <c r="M60" s="13" t="s">
        <v>13</v>
      </c>
      <c r="N60" s="3">
        <v>1</v>
      </c>
      <c r="O60" s="3">
        <v>0</v>
      </c>
      <c r="P60" s="3">
        <v>0</v>
      </c>
      <c r="Q60" s="3">
        <v>0</v>
      </c>
      <c r="R60" s="3">
        <v>1</v>
      </c>
    </row>
    <row r="61" spans="1:18">
      <c r="A61" s="12" t="s">
        <v>13</v>
      </c>
      <c r="B61" s="3">
        <v>0.5</v>
      </c>
      <c r="C61" s="3">
        <v>0.25</v>
      </c>
      <c r="D61" s="3">
        <v>0.25</v>
      </c>
      <c r="E61" s="3">
        <v>0</v>
      </c>
      <c r="F61" s="3">
        <v>1</v>
      </c>
      <c r="M61" s="13" t="s">
        <v>2</v>
      </c>
      <c r="N61" s="3">
        <v>1</v>
      </c>
      <c r="O61" s="3">
        <v>0</v>
      </c>
      <c r="P61" s="3">
        <v>0</v>
      </c>
      <c r="Q61" s="3">
        <v>0</v>
      </c>
      <c r="R61" s="3">
        <v>1</v>
      </c>
    </row>
    <row r="62" spans="1:18">
      <c r="A62" s="12" t="s">
        <v>2</v>
      </c>
      <c r="B62" s="3">
        <v>0.2</v>
      </c>
      <c r="C62" s="3">
        <v>0.8</v>
      </c>
      <c r="D62" s="3">
        <v>0</v>
      </c>
      <c r="E62" s="3">
        <v>0</v>
      </c>
      <c r="F62" s="3">
        <v>1</v>
      </c>
      <c r="M62" s="12" t="s">
        <v>436</v>
      </c>
      <c r="N62" s="3">
        <v>0.607142857142857</v>
      </c>
      <c r="O62" s="3">
        <v>0</v>
      </c>
      <c r="P62" s="3">
        <v>0</v>
      </c>
      <c r="Q62" s="3">
        <v>0.392857142857143</v>
      </c>
      <c r="R62" s="3">
        <v>1</v>
      </c>
    </row>
    <row r="63" spans="1:18">
      <c r="A63" s="11" t="s">
        <v>38</v>
      </c>
      <c r="B63" s="3">
        <v>1</v>
      </c>
      <c r="C63" s="3">
        <v>0</v>
      </c>
      <c r="D63" s="3">
        <v>0</v>
      </c>
      <c r="E63" s="3">
        <v>0</v>
      </c>
      <c r="F63" s="3">
        <v>1</v>
      </c>
      <c r="M63" s="13" t="s">
        <v>7</v>
      </c>
      <c r="N63" s="3">
        <v>0.4</v>
      </c>
      <c r="O63" s="3">
        <v>0</v>
      </c>
      <c r="P63" s="3">
        <v>0</v>
      </c>
      <c r="Q63" s="3">
        <v>0.6</v>
      </c>
      <c r="R63" s="3">
        <v>1</v>
      </c>
    </row>
    <row r="64" spans="1:18">
      <c r="A64" s="12" t="s">
        <v>2</v>
      </c>
      <c r="B64" s="3">
        <v>1</v>
      </c>
      <c r="C64" s="3">
        <v>0</v>
      </c>
      <c r="D64" s="3">
        <v>0</v>
      </c>
      <c r="E64" s="3">
        <v>0</v>
      </c>
      <c r="F64" s="3">
        <v>1</v>
      </c>
      <c r="M64" s="13" t="s">
        <v>13</v>
      </c>
      <c r="N64" s="3">
        <v>0.75</v>
      </c>
      <c r="O64" s="3">
        <v>0</v>
      </c>
      <c r="P64" s="3">
        <v>0</v>
      </c>
      <c r="Q64" s="3">
        <v>0.25</v>
      </c>
      <c r="R64" s="3">
        <v>1</v>
      </c>
    </row>
    <row r="65" spans="1:18">
      <c r="A65" s="11" t="s">
        <v>429</v>
      </c>
      <c r="B65" s="3">
        <v>0.599056603773585</v>
      </c>
      <c r="C65" s="3">
        <v>0.117924528301887</v>
      </c>
      <c r="D65" s="3">
        <v>0.216981132075472</v>
      </c>
      <c r="E65" s="3">
        <v>0.0660377358490566</v>
      </c>
      <c r="F65" s="3">
        <v>1</v>
      </c>
      <c r="M65" s="13" t="s">
        <v>2</v>
      </c>
      <c r="N65" s="3">
        <v>0.538461538461538</v>
      </c>
      <c r="O65" s="3">
        <v>0</v>
      </c>
      <c r="P65" s="3">
        <v>0</v>
      </c>
      <c r="Q65" s="3">
        <v>0.461538461538462</v>
      </c>
      <c r="R65" s="3">
        <v>1</v>
      </c>
    </row>
    <row r="66" spans="13:18">
      <c r="M66" s="13" t="s">
        <v>18</v>
      </c>
      <c r="N66" s="3">
        <v>1</v>
      </c>
      <c r="O66" s="3">
        <v>0</v>
      </c>
      <c r="P66" s="3">
        <v>0</v>
      </c>
      <c r="Q66" s="3">
        <v>0</v>
      </c>
      <c r="R66" s="3">
        <v>1</v>
      </c>
    </row>
    <row r="67" spans="13:18">
      <c r="M67" s="11" t="s">
        <v>442</v>
      </c>
      <c r="N67" s="3"/>
      <c r="O67" s="3"/>
      <c r="P67" s="3"/>
      <c r="Q67" s="3"/>
      <c r="R67" s="3"/>
    </row>
    <row r="68" spans="13:18">
      <c r="M68" s="12" t="s">
        <v>434</v>
      </c>
      <c r="N68" s="3">
        <v>1</v>
      </c>
      <c r="O68" s="3">
        <v>0</v>
      </c>
      <c r="P68" s="3">
        <v>0</v>
      </c>
      <c r="Q68" s="3">
        <v>0</v>
      </c>
      <c r="R68" s="3">
        <v>1</v>
      </c>
    </row>
    <row r="69" spans="13:18">
      <c r="M69" s="13" t="s">
        <v>7</v>
      </c>
      <c r="N69" s="3">
        <v>1</v>
      </c>
      <c r="O69" s="3">
        <v>0</v>
      </c>
      <c r="P69" s="3">
        <v>0</v>
      </c>
      <c r="Q69" s="3">
        <v>0</v>
      </c>
      <c r="R69" s="3">
        <v>1</v>
      </c>
    </row>
    <row r="70" spans="13:18">
      <c r="M70" s="13" t="s">
        <v>13</v>
      </c>
      <c r="N70" s="3">
        <v>1</v>
      </c>
      <c r="O70" s="3">
        <v>0</v>
      </c>
      <c r="P70" s="3">
        <v>0</v>
      </c>
      <c r="Q70" s="3">
        <v>0</v>
      </c>
      <c r="R70" s="3">
        <v>1</v>
      </c>
    </row>
    <row r="71" spans="13:18">
      <c r="M71" s="13" t="s">
        <v>2</v>
      </c>
      <c r="N71" s="3">
        <v>1</v>
      </c>
      <c r="O71" s="3">
        <v>0</v>
      </c>
      <c r="P71" s="3">
        <v>0</v>
      </c>
      <c r="Q71" s="3">
        <v>0</v>
      </c>
      <c r="R71" s="3">
        <v>1</v>
      </c>
    </row>
    <row r="72" spans="13:18">
      <c r="M72" s="12" t="s">
        <v>443</v>
      </c>
      <c r="N72" s="3">
        <v>1</v>
      </c>
      <c r="O72" s="3">
        <v>0</v>
      </c>
      <c r="P72" s="3">
        <v>0</v>
      </c>
      <c r="Q72" s="3">
        <v>0</v>
      </c>
      <c r="R72" s="3">
        <v>1</v>
      </c>
    </row>
    <row r="73" spans="13:18">
      <c r="M73" s="13" t="s">
        <v>7</v>
      </c>
      <c r="N73" s="3">
        <v>1</v>
      </c>
      <c r="O73" s="3">
        <v>0</v>
      </c>
      <c r="P73" s="3">
        <v>0</v>
      </c>
      <c r="Q73" s="3">
        <v>0</v>
      </c>
      <c r="R73" s="3">
        <v>1</v>
      </c>
    </row>
    <row r="74" spans="13:18">
      <c r="M74" s="13" t="s">
        <v>13</v>
      </c>
      <c r="N74" s="3">
        <v>1</v>
      </c>
      <c r="O74" s="3">
        <v>0</v>
      </c>
      <c r="P74" s="3">
        <v>0</v>
      </c>
      <c r="Q74" s="3">
        <v>0</v>
      </c>
      <c r="R74" s="3">
        <v>1</v>
      </c>
    </row>
    <row r="75" spans="13:18">
      <c r="M75" s="13" t="s">
        <v>2</v>
      </c>
      <c r="N75" s="3">
        <v>1</v>
      </c>
      <c r="O75" s="3">
        <v>0</v>
      </c>
      <c r="P75" s="3">
        <v>0</v>
      </c>
      <c r="Q75" s="3">
        <v>0</v>
      </c>
      <c r="R75" s="3">
        <v>1</v>
      </c>
    </row>
    <row r="76" spans="13:18">
      <c r="M76" s="12" t="s">
        <v>453</v>
      </c>
      <c r="N76" s="3">
        <v>1</v>
      </c>
      <c r="O76" s="3">
        <v>0</v>
      </c>
      <c r="P76" s="3">
        <v>0</v>
      </c>
      <c r="Q76" s="3">
        <v>0</v>
      </c>
      <c r="R76" s="3">
        <v>1</v>
      </c>
    </row>
    <row r="77" spans="13:18">
      <c r="M77" s="13" t="s">
        <v>13</v>
      </c>
      <c r="N77" s="3">
        <v>1</v>
      </c>
      <c r="O77" s="3">
        <v>0</v>
      </c>
      <c r="P77" s="3">
        <v>0</v>
      </c>
      <c r="Q77" s="3">
        <v>0</v>
      </c>
      <c r="R77" s="3">
        <v>1</v>
      </c>
    </row>
    <row r="78" spans="13:18">
      <c r="M78" s="13" t="s">
        <v>2</v>
      </c>
      <c r="N78" s="3">
        <v>1</v>
      </c>
      <c r="O78" s="3">
        <v>0</v>
      </c>
      <c r="P78" s="3">
        <v>0</v>
      </c>
      <c r="Q78" s="3">
        <v>0</v>
      </c>
      <c r="R78" s="3">
        <v>1</v>
      </c>
    </row>
    <row r="79" spans="13:18">
      <c r="M79" s="12" t="s">
        <v>432</v>
      </c>
      <c r="N79" s="3">
        <v>1</v>
      </c>
      <c r="O79" s="3">
        <v>0</v>
      </c>
      <c r="P79" s="3">
        <v>0</v>
      </c>
      <c r="Q79" s="3">
        <v>0</v>
      </c>
      <c r="R79" s="3">
        <v>1</v>
      </c>
    </row>
    <row r="80" spans="13:18">
      <c r="M80" s="13" t="s">
        <v>7</v>
      </c>
      <c r="N80" s="3">
        <v>1</v>
      </c>
      <c r="O80" s="3">
        <v>0</v>
      </c>
      <c r="P80" s="3">
        <v>0</v>
      </c>
      <c r="Q80" s="3">
        <v>0</v>
      </c>
      <c r="R80" s="3">
        <v>1</v>
      </c>
    </row>
    <row r="81" spans="13:18">
      <c r="M81" s="13" t="s">
        <v>13</v>
      </c>
      <c r="N81" s="3">
        <v>1</v>
      </c>
      <c r="O81" s="3">
        <v>0</v>
      </c>
      <c r="P81" s="3">
        <v>0</v>
      </c>
      <c r="Q81" s="3">
        <v>0</v>
      </c>
      <c r="R81" s="3">
        <v>1</v>
      </c>
    </row>
    <row r="82" spans="13:18">
      <c r="M82" s="13" t="s">
        <v>2</v>
      </c>
      <c r="N82" s="3">
        <v>1</v>
      </c>
      <c r="O82" s="3">
        <v>0</v>
      </c>
      <c r="P82" s="3">
        <v>0</v>
      </c>
      <c r="Q82" s="3">
        <v>0</v>
      </c>
      <c r="R82" s="3">
        <v>1</v>
      </c>
    </row>
    <row r="83" spans="13:18">
      <c r="M83" s="12" t="s">
        <v>454</v>
      </c>
      <c r="N83" s="3">
        <v>1</v>
      </c>
      <c r="O83" s="3">
        <v>0</v>
      </c>
      <c r="P83" s="3">
        <v>0</v>
      </c>
      <c r="Q83" s="3">
        <v>0</v>
      </c>
      <c r="R83" s="3">
        <v>1</v>
      </c>
    </row>
    <row r="84" spans="13:18">
      <c r="M84" s="13" t="s">
        <v>2</v>
      </c>
      <c r="N84" s="3">
        <v>1</v>
      </c>
      <c r="O84" s="3">
        <v>0</v>
      </c>
      <c r="P84" s="3">
        <v>0</v>
      </c>
      <c r="Q84" s="3">
        <v>0</v>
      </c>
      <c r="R84" s="3">
        <v>1</v>
      </c>
    </row>
    <row r="85" spans="13:18">
      <c r="M85" s="12" t="s">
        <v>446</v>
      </c>
      <c r="N85" s="3">
        <v>1</v>
      </c>
      <c r="O85" s="3">
        <v>0</v>
      </c>
      <c r="P85" s="3">
        <v>0</v>
      </c>
      <c r="Q85" s="3">
        <v>0</v>
      </c>
      <c r="R85" s="3">
        <v>1</v>
      </c>
    </row>
    <row r="86" spans="13:18">
      <c r="M86" s="13" t="s">
        <v>7</v>
      </c>
      <c r="N86" s="3">
        <v>1</v>
      </c>
      <c r="O86" s="3">
        <v>0</v>
      </c>
      <c r="P86" s="3">
        <v>0</v>
      </c>
      <c r="Q86" s="3">
        <v>0</v>
      </c>
      <c r="R86" s="3">
        <v>1</v>
      </c>
    </row>
    <row r="87" spans="13:18">
      <c r="M87" s="13" t="s">
        <v>13</v>
      </c>
      <c r="N87" s="3">
        <v>1</v>
      </c>
      <c r="O87" s="3">
        <v>0</v>
      </c>
      <c r="P87" s="3">
        <v>0</v>
      </c>
      <c r="Q87" s="3">
        <v>0</v>
      </c>
      <c r="R87" s="3">
        <v>1</v>
      </c>
    </row>
    <row r="88" spans="13:18">
      <c r="M88" s="13" t="s">
        <v>2</v>
      </c>
      <c r="N88" s="3">
        <v>1</v>
      </c>
      <c r="O88" s="3">
        <v>0</v>
      </c>
      <c r="P88" s="3">
        <v>0</v>
      </c>
      <c r="Q88" s="3">
        <v>0</v>
      </c>
      <c r="R88" s="3">
        <v>1</v>
      </c>
    </row>
    <row r="89" spans="13:18">
      <c r="M89" s="12" t="s">
        <v>436</v>
      </c>
      <c r="N89" s="3">
        <v>1</v>
      </c>
      <c r="O89" s="3">
        <v>0</v>
      </c>
      <c r="P89" s="3">
        <v>0</v>
      </c>
      <c r="Q89" s="3">
        <v>0</v>
      </c>
      <c r="R89" s="3">
        <v>1</v>
      </c>
    </row>
    <row r="90" spans="13:18">
      <c r="M90" s="13" t="s">
        <v>7</v>
      </c>
      <c r="N90" s="3">
        <v>1</v>
      </c>
      <c r="O90" s="3">
        <v>0</v>
      </c>
      <c r="P90" s="3">
        <v>0</v>
      </c>
      <c r="Q90" s="3">
        <v>0</v>
      </c>
      <c r="R90" s="3">
        <v>1</v>
      </c>
    </row>
    <row r="91" spans="13:18">
      <c r="M91" s="13" t="s">
        <v>13</v>
      </c>
      <c r="N91" s="3">
        <v>1</v>
      </c>
      <c r="O91" s="3">
        <v>0</v>
      </c>
      <c r="P91" s="3">
        <v>0</v>
      </c>
      <c r="Q91" s="3">
        <v>0</v>
      </c>
      <c r="R91" s="3">
        <v>1</v>
      </c>
    </row>
    <row r="92" spans="13:18">
      <c r="M92" s="13" t="s">
        <v>2</v>
      </c>
      <c r="N92" s="3">
        <v>1</v>
      </c>
      <c r="O92" s="3">
        <v>0</v>
      </c>
      <c r="P92" s="3">
        <v>0</v>
      </c>
      <c r="Q92" s="3">
        <v>0</v>
      </c>
      <c r="R92" s="3">
        <v>1</v>
      </c>
    </row>
    <row r="93" spans="13:18">
      <c r="M93" s="13" t="s">
        <v>18</v>
      </c>
      <c r="N93" s="3">
        <v>1</v>
      </c>
      <c r="O93" s="3">
        <v>0</v>
      </c>
      <c r="P93" s="3">
        <v>0</v>
      </c>
      <c r="Q93" s="3">
        <v>0</v>
      </c>
      <c r="R93" s="3">
        <v>1</v>
      </c>
    </row>
    <row r="94" spans="13:18">
      <c r="M94" s="11" t="s">
        <v>445</v>
      </c>
      <c r="N94" s="3"/>
      <c r="O94" s="3"/>
      <c r="P94" s="3"/>
      <c r="Q94" s="3"/>
      <c r="R94" s="3"/>
    </row>
    <row r="95" spans="13:18">
      <c r="M95" s="12" t="s">
        <v>446</v>
      </c>
      <c r="N95" s="3">
        <v>1</v>
      </c>
      <c r="O95" s="3">
        <v>0</v>
      </c>
      <c r="P95" s="3">
        <v>0</v>
      </c>
      <c r="Q95" s="3">
        <v>0</v>
      </c>
      <c r="R95" s="3">
        <v>1</v>
      </c>
    </row>
    <row r="96" spans="13:18">
      <c r="M96" s="13" t="s">
        <v>13</v>
      </c>
      <c r="N96" s="3">
        <v>1</v>
      </c>
      <c r="O96" s="3">
        <v>0</v>
      </c>
      <c r="P96" s="3">
        <v>0</v>
      </c>
      <c r="Q96" s="3">
        <v>0</v>
      </c>
      <c r="R96" s="3">
        <v>1</v>
      </c>
    </row>
    <row r="97" spans="13:18">
      <c r="M97" s="13" t="s">
        <v>2</v>
      </c>
      <c r="N97" s="3">
        <v>1</v>
      </c>
      <c r="O97" s="3">
        <v>0</v>
      </c>
      <c r="P97" s="3">
        <v>0</v>
      </c>
      <c r="Q97" s="3">
        <v>0</v>
      </c>
      <c r="R97" s="3">
        <v>1</v>
      </c>
    </row>
    <row r="98" spans="13:18">
      <c r="M98" s="12" t="s">
        <v>436</v>
      </c>
      <c r="N98" s="3">
        <v>1</v>
      </c>
      <c r="O98" s="3">
        <v>0</v>
      </c>
      <c r="P98" s="3">
        <v>0</v>
      </c>
      <c r="Q98" s="3">
        <v>0</v>
      </c>
      <c r="R98" s="3">
        <v>1</v>
      </c>
    </row>
    <row r="99" spans="13:18">
      <c r="M99" s="13" t="s">
        <v>2</v>
      </c>
      <c r="N99" s="3">
        <v>1</v>
      </c>
      <c r="O99" s="3">
        <v>0</v>
      </c>
      <c r="P99" s="3">
        <v>0</v>
      </c>
      <c r="Q99" s="3">
        <v>0</v>
      </c>
      <c r="R99" s="3">
        <v>1</v>
      </c>
    </row>
    <row r="100" spans="13:18">
      <c r="M100" s="11" t="s">
        <v>448</v>
      </c>
      <c r="N100" s="3"/>
      <c r="O100" s="3"/>
      <c r="P100" s="3"/>
      <c r="Q100" s="3"/>
      <c r="R100" s="3"/>
    </row>
    <row r="101" spans="13:18">
      <c r="M101" s="12" t="s">
        <v>446</v>
      </c>
      <c r="N101" s="3">
        <v>1</v>
      </c>
      <c r="O101" s="3">
        <v>0</v>
      </c>
      <c r="P101" s="3">
        <v>0</v>
      </c>
      <c r="Q101" s="3">
        <v>0</v>
      </c>
      <c r="R101" s="3">
        <v>1</v>
      </c>
    </row>
    <row r="102" spans="13:18">
      <c r="M102" s="13" t="s">
        <v>7</v>
      </c>
      <c r="N102" s="3">
        <v>1</v>
      </c>
      <c r="O102" s="3">
        <v>0</v>
      </c>
      <c r="P102" s="3">
        <v>0</v>
      </c>
      <c r="Q102" s="3">
        <v>0</v>
      </c>
      <c r="R102" s="3">
        <v>1</v>
      </c>
    </row>
    <row r="103" spans="13:18">
      <c r="M103" s="13" t="s">
        <v>13</v>
      </c>
      <c r="N103" s="3">
        <v>1</v>
      </c>
      <c r="O103" s="3">
        <v>0</v>
      </c>
      <c r="P103" s="3">
        <v>0</v>
      </c>
      <c r="Q103" s="3">
        <v>0</v>
      </c>
      <c r="R103" s="3">
        <v>1</v>
      </c>
    </row>
    <row r="104" spans="13:18">
      <c r="M104" s="13" t="s">
        <v>2</v>
      </c>
      <c r="N104" s="3">
        <v>1</v>
      </c>
      <c r="O104" s="3">
        <v>0</v>
      </c>
      <c r="P104" s="3">
        <v>0</v>
      </c>
      <c r="Q104" s="3">
        <v>0</v>
      </c>
      <c r="R104" s="3">
        <v>1</v>
      </c>
    </row>
    <row r="105" spans="13:18">
      <c r="M105" s="13" t="s">
        <v>18</v>
      </c>
      <c r="N105" s="3">
        <v>1</v>
      </c>
      <c r="O105" s="3">
        <v>0</v>
      </c>
      <c r="P105" s="3">
        <v>0</v>
      </c>
      <c r="Q105" s="3">
        <v>0</v>
      </c>
      <c r="R105" s="3">
        <v>1</v>
      </c>
    </row>
    <row r="106" spans="13:18">
      <c r="M106" s="12" t="s">
        <v>436</v>
      </c>
      <c r="N106" s="3">
        <v>1</v>
      </c>
      <c r="O106" s="3">
        <v>0</v>
      </c>
      <c r="P106" s="3">
        <v>0</v>
      </c>
      <c r="Q106" s="3">
        <v>0</v>
      </c>
      <c r="R106" s="3">
        <v>1</v>
      </c>
    </row>
    <row r="107" spans="13:18">
      <c r="M107" s="13" t="s">
        <v>18</v>
      </c>
      <c r="N107" s="3">
        <v>1</v>
      </c>
      <c r="O107" s="3">
        <v>0</v>
      </c>
      <c r="P107" s="3">
        <v>0</v>
      </c>
      <c r="Q107" s="3">
        <v>0</v>
      </c>
      <c r="R107" s="3">
        <v>1</v>
      </c>
    </row>
    <row r="108" spans="13:18">
      <c r="M108" s="11" t="s">
        <v>429</v>
      </c>
      <c r="N108" s="3">
        <v>0.599056603773585</v>
      </c>
      <c r="O108" s="3">
        <v>0.117924528301887</v>
      </c>
      <c r="P108" s="3">
        <v>0.216981132075472</v>
      </c>
      <c r="Q108" s="3">
        <v>0.0660377358490566</v>
      </c>
      <c r="R108" s="3">
        <v>1</v>
      </c>
    </row>
  </sheetData>
  <pageMargins left="0.511811024" right="0.511811024" top="0.787401575" bottom="0.787401575" header="0.31496062" footer="0.31496062"/>
  <pageSetup paperSize="9" orientation="portrait"/>
  <headerFooter/>
  <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9"/>
  <sheetViews>
    <sheetView topLeftCell="A5" workbookViewId="0">
      <selection activeCell="B5" sqref="B5:F29"/>
    </sheetView>
  </sheetViews>
  <sheetFormatPr defaultColWidth="9" defaultRowHeight="15" customHeight="1" outlineLevelCol="5"/>
  <cols>
    <col min="1" max="1" width="9" style="5"/>
    <col min="2" max="2" width="95" style="6" customWidth="1"/>
    <col min="3" max="6" width="9" style="6"/>
  </cols>
  <sheetData>
    <row r="1" s="5" customFormat="1" ht="6.75" customHeight="1" spans="2:6">
      <c r="B1"/>
      <c r="C1"/>
      <c r="D1"/>
      <c r="E1"/>
      <c r="F1"/>
    </row>
    <row r="2" s="5" customFormat="1" ht="6.75" customHeight="1" spans="2:6">
      <c r="B2"/>
      <c r="C2"/>
      <c r="D2"/>
      <c r="E2"/>
      <c r="F2"/>
    </row>
    <row r="3" ht="8.25" customHeight="1" spans="2:6">
      <c r="B3" s="7" t="s">
        <v>455</v>
      </c>
      <c r="C3" s="7"/>
      <c r="D3" s="7"/>
      <c r="E3" s="7"/>
      <c r="F3" s="7"/>
    </row>
    <row r="4" ht="9" customHeight="1" spans="2:6">
      <c r="B4" s="7"/>
      <c r="C4" s="7"/>
      <c r="D4" s="7"/>
      <c r="E4" s="7"/>
      <c r="F4" s="7"/>
    </row>
    <row r="5" ht="20.25" customHeight="1" spans="2:6">
      <c r="B5" s="8" t="s">
        <v>456</v>
      </c>
      <c r="C5" s="9"/>
      <c r="D5" s="9"/>
      <c r="E5" s="9"/>
      <c r="F5" s="9"/>
    </row>
    <row r="6" ht="20.25" customHeight="1" spans="2:6">
      <c r="B6" s="10"/>
      <c r="C6" s="10"/>
      <c r="D6" s="10"/>
      <c r="E6" s="10"/>
      <c r="F6" s="10"/>
    </row>
    <row r="7" ht="20.25" customHeight="1" spans="2:6">
      <c r="B7" s="10"/>
      <c r="C7" s="10"/>
      <c r="D7" s="10"/>
      <c r="E7" s="10"/>
      <c r="F7" s="10"/>
    </row>
    <row r="8" ht="20.25" customHeight="1" spans="2:6">
      <c r="B8" s="10"/>
      <c r="C8" s="10"/>
      <c r="D8" s="10"/>
      <c r="E8" s="10"/>
      <c r="F8" s="10"/>
    </row>
    <row r="9" ht="20.25" customHeight="1" spans="2:6">
      <c r="B9" s="10"/>
      <c r="C9" s="10"/>
      <c r="D9" s="10"/>
      <c r="E9" s="10"/>
      <c r="F9" s="10"/>
    </row>
    <row r="10" ht="20.25" customHeight="1" spans="2:6">
      <c r="B10" s="10"/>
      <c r="C10" s="10"/>
      <c r="D10" s="10"/>
      <c r="E10" s="10"/>
      <c r="F10" s="10"/>
    </row>
    <row r="11" ht="20.25" customHeight="1" spans="2:6">
      <c r="B11" s="10"/>
      <c r="C11" s="10"/>
      <c r="D11" s="10"/>
      <c r="E11" s="10"/>
      <c r="F11" s="10"/>
    </row>
    <row r="12" ht="20.25" customHeight="1" spans="2:6">
      <c r="B12" s="10"/>
      <c r="C12" s="10"/>
      <c r="D12" s="10"/>
      <c r="E12" s="10"/>
      <c r="F12" s="10"/>
    </row>
    <row r="13" ht="20.25" customHeight="1" spans="2:6">
      <c r="B13" s="10"/>
      <c r="C13" s="10"/>
      <c r="D13" s="10"/>
      <c r="E13" s="10"/>
      <c r="F13" s="10"/>
    </row>
    <row r="14" ht="20.25" customHeight="1" spans="2:6">
      <c r="B14" s="10"/>
      <c r="C14" s="10"/>
      <c r="D14" s="10"/>
      <c r="E14" s="10"/>
      <c r="F14" s="10"/>
    </row>
    <row r="15" ht="20.25" customHeight="1" spans="2:6">
      <c r="B15" s="10"/>
      <c r="C15" s="10"/>
      <c r="D15" s="10"/>
      <c r="E15" s="10"/>
      <c r="F15" s="10"/>
    </row>
    <row r="16" ht="20.25" customHeight="1" spans="2:6">
      <c r="B16" s="10"/>
      <c r="C16" s="10"/>
      <c r="D16" s="10"/>
      <c r="E16" s="10"/>
      <c r="F16" s="10"/>
    </row>
    <row r="17" ht="20.25" customHeight="1" spans="2:6">
      <c r="B17" s="10"/>
      <c r="C17" s="10"/>
      <c r="D17" s="10"/>
      <c r="E17" s="10"/>
      <c r="F17" s="10"/>
    </row>
    <row r="18" ht="20.25" customHeight="1" spans="2:6">
      <c r="B18" s="10"/>
      <c r="C18" s="10"/>
      <c r="D18" s="10"/>
      <c r="E18" s="10"/>
      <c r="F18" s="10"/>
    </row>
    <row r="19" ht="20.25" customHeight="1" spans="2:6">
      <c r="B19" s="10"/>
      <c r="C19" s="10"/>
      <c r="D19" s="10"/>
      <c r="E19" s="10"/>
      <c r="F19" s="10"/>
    </row>
    <row r="20" ht="20.25" customHeight="1" spans="2:6">
      <c r="B20" s="10"/>
      <c r="C20" s="10"/>
      <c r="D20" s="10"/>
      <c r="E20" s="10"/>
      <c r="F20" s="10"/>
    </row>
    <row r="21" ht="20.25" customHeight="1" spans="2:6">
      <c r="B21" s="10"/>
      <c r="C21" s="10"/>
      <c r="D21" s="10"/>
      <c r="E21" s="10"/>
      <c r="F21" s="10"/>
    </row>
    <row r="22" ht="20.25" customHeight="1" spans="2:6">
      <c r="B22" s="10"/>
      <c r="C22" s="10"/>
      <c r="D22" s="10"/>
      <c r="E22" s="10"/>
      <c r="F22" s="10"/>
    </row>
    <row r="23" ht="20.25" customHeight="1" spans="2:6">
      <c r="B23" s="10"/>
      <c r="C23" s="10"/>
      <c r="D23" s="10"/>
      <c r="E23" s="10"/>
      <c r="F23" s="10"/>
    </row>
    <row r="24" ht="20.25" customHeight="1" spans="2:6">
      <c r="B24" s="10"/>
      <c r="C24" s="10"/>
      <c r="D24" s="10"/>
      <c r="E24" s="10"/>
      <c r="F24" s="10"/>
    </row>
    <row r="25" ht="20.25" customHeight="1" spans="2:6">
      <c r="B25" s="10"/>
      <c r="C25" s="10"/>
      <c r="D25" s="10"/>
      <c r="E25" s="10"/>
      <c r="F25" s="10"/>
    </row>
    <row r="26" ht="20.25" customHeight="1" spans="2:6">
      <c r="B26" s="10"/>
      <c r="C26" s="10"/>
      <c r="D26" s="10"/>
      <c r="E26" s="10"/>
      <c r="F26" s="10"/>
    </row>
    <row r="27" ht="20.25" customHeight="1" spans="2:6">
      <c r="B27" s="10"/>
      <c r="C27" s="10"/>
      <c r="D27" s="10"/>
      <c r="E27" s="10"/>
      <c r="F27" s="10"/>
    </row>
    <row r="28" ht="20.25" customHeight="1" spans="2:6">
      <c r="B28" s="10"/>
      <c r="C28" s="10"/>
      <c r="D28" s="10"/>
      <c r="E28" s="10"/>
      <c r="F28" s="10"/>
    </row>
    <row r="29" ht="20.25" customHeight="1" spans="2:6">
      <c r="B29" s="10"/>
      <c r="C29" s="10"/>
      <c r="D29" s="10"/>
      <c r="E29" s="10"/>
      <c r="F29" s="10"/>
    </row>
  </sheetData>
  <mergeCells count="2">
    <mergeCell ref="B3:F4"/>
    <mergeCell ref="B5:F29"/>
  </mergeCells>
  <pageMargins left="0.511811024" right="0.511811024" top="0.787401575" bottom="0.787401575" header="0.31496062" footer="0.31496062"/>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9"/>
  <sheetViews>
    <sheetView workbookViewId="0">
      <selection activeCell="F6" sqref="F6"/>
    </sheetView>
  </sheetViews>
  <sheetFormatPr defaultColWidth="9" defaultRowHeight="15" outlineLevelCol="6"/>
  <cols>
    <col min="1" max="1" width="74.7142857142857" customWidth="1"/>
    <col min="2" max="2" width="12.7142857142857" customWidth="1"/>
    <col min="4" max="5" width="7" customWidth="1"/>
    <col min="6" max="6" width="12" customWidth="1"/>
    <col min="7" max="7" width="20.1428571428571" customWidth="1"/>
  </cols>
  <sheetData>
    <row r="2" spans="1:1">
      <c r="A2" t="s">
        <v>457</v>
      </c>
    </row>
    <row r="3" spans="7:7">
      <c r="G3" t="s">
        <v>458</v>
      </c>
    </row>
    <row r="4" spans="4:7">
      <c r="D4" t="s">
        <v>459</v>
      </c>
      <c r="E4" s="1">
        <v>44713</v>
      </c>
      <c r="F4">
        <f>B$5*B$6+B$5</f>
        <v>109650</v>
      </c>
      <c r="G4">
        <f t="shared" ref="G4:G9" si="0">F4/B$8*B$9</f>
        <v>561.95625</v>
      </c>
    </row>
    <row r="5" spans="1:7">
      <c r="A5" t="s">
        <v>460</v>
      </c>
      <c r="B5" s="2">
        <v>102000</v>
      </c>
      <c r="D5" t="s">
        <v>461</v>
      </c>
      <c r="E5" s="1">
        <v>45078</v>
      </c>
      <c r="F5">
        <f>F4+B$5+(F4+B$5)*B$6</f>
        <v>227523.75</v>
      </c>
      <c r="G5">
        <f t="shared" si="0"/>
        <v>1166.05921875</v>
      </c>
    </row>
    <row r="6" spans="1:7">
      <c r="A6" t="s">
        <v>462</v>
      </c>
      <c r="B6" s="3">
        <v>0.075</v>
      </c>
      <c r="D6" t="s">
        <v>463</v>
      </c>
      <c r="E6" s="1">
        <v>45444</v>
      </c>
      <c r="F6">
        <f>F5+B$5+(F5+B$5)*B$6</f>
        <v>354238.03125</v>
      </c>
      <c r="G6">
        <f t="shared" si="0"/>
        <v>1815.46991015625</v>
      </c>
    </row>
    <row r="7" spans="1:7">
      <c r="A7" t="s">
        <v>464</v>
      </c>
      <c r="D7" t="s">
        <v>465</v>
      </c>
      <c r="E7" s="1">
        <v>45809</v>
      </c>
      <c r="F7">
        <f>F6+B$5+(F6+B$5)*B$6</f>
        <v>490455.88359375</v>
      </c>
      <c r="G7">
        <f t="shared" si="0"/>
        <v>2513.58640341797</v>
      </c>
    </row>
    <row r="8" spans="1:7">
      <c r="A8" t="s">
        <v>466</v>
      </c>
      <c r="B8" s="2">
        <v>80</v>
      </c>
      <c r="D8" t="s">
        <v>467</v>
      </c>
      <c r="E8" s="1">
        <v>46174</v>
      </c>
      <c r="F8">
        <f>F7+B$5+(F7+B$5)*B$6</f>
        <v>636890.074863281</v>
      </c>
      <c r="G8">
        <f t="shared" si="0"/>
        <v>3264.06163367432</v>
      </c>
    </row>
    <row r="9" spans="1:7">
      <c r="A9" t="s">
        <v>468</v>
      </c>
      <c r="B9" s="2">
        <v>0.41</v>
      </c>
      <c r="D9" t="s">
        <v>469</v>
      </c>
      <c r="E9" s="1">
        <v>46539</v>
      </c>
      <c r="F9">
        <f>F8+B$5+(F8+B$5)*B$6</f>
        <v>794306.830478027</v>
      </c>
      <c r="G9" s="4">
        <f t="shared" si="0"/>
        <v>4070.82250619989</v>
      </c>
    </row>
  </sheetData>
  <pageMargins left="0.511811024" right="0.511811024" top="0.787401575" bottom="0.787401575" header="0.31496062" footer="0.31496062"/>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6</vt:i4>
      </vt:variant>
    </vt:vector>
  </HeadingPairs>
  <TitlesOfParts>
    <vt:vector size="6" baseType="lpstr">
      <vt:lpstr>Metas, objetivos, plano de ação</vt:lpstr>
      <vt:lpstr>Diário</vt:lpstr>
      <vt:lpstr>Diário (2)</vt:lpstr>
      <vt:lpstr>Acompanhamento</vt:lpstr>
      <vt:lpstr>Visão_out 23</vt:lpstr>
      <vt:lpstr>Meta financeira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bruno</cp:lastModifiedBy>
  <dcterms:created xsi:type="dcterms:W3CDTF">2015-06-05T18:19:00Z</dcterms:created>
  <dcterms:modified xsi:type="dcterms:W3CDTF">2026-03-28T18:27:49Z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1EA5E159CBDF4949AA0CDA24AE6265E3_12</vt:lpwstr>
  </property>
  <property fmtid="{D5CDD505-2E9C-101B-9397-08002B2CF9AE}" pid="3" name="KSOProductBuildVer">
    <vt:lpwstr>1046-12.2.0.23196</vt:lpwstr>
  </property>
</Properties>
</file>